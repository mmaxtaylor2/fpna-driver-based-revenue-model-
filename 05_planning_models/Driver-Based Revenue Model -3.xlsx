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_Drivers" sheetId="1" r:id="rId4"/>
    <sheet state="visible" name="Income_Statment " sheetId="2" r:id="rId5"/>
    <sheet state="visible" name="Cash_Flow " sheetId="3" r:id="rId6"/>
  </sheets>
  <definedNames/>
  <calcPr/>
</workbook>
</file>

<file path=xl/sharedStrings.xml><?xml version="1.0" encoding="utf-8"?>
<sst xmlns="http://schemas.openxmlformats.org/spreadsheetml/2006/main" count="70" uniqueCount="66">
  <si>
    <t xml:space="preserve">Scenario </t>
  </si>
  <si>
    <t>Base</t>
  </si>
  <si>
    <t xml:space="preserve">Assumptions by Scenario </t>
  </si>
  <si>
    <t xml:space="preserve">Metric </t>
  </si>
  <si>
    <t>Upside</t>
  </si>
  <si>
    <t>Downside</t>
  </si>
  <si>
    <t>Growth %</t>
  </si>
  <si>
    <t>Churn %</t>
  </si>
  <si>
    <t>S&amp;M%</t>
  </si>
  <si>
    <t>R&amp;D%</t>
  </si>
  <si>
    <t>G&amp;A%</t>
  </si>
  <si>
    <t>CapEx%</t>
  </si>
  <si>
    <t xml:space="preserve">Active Assumptions </t>
  </si>
  <si>
    <t>Active Growth %</t>
  </si>
  <si>
    <t>Active Churn %</t>
  </si>
  <si>
    <t>Active S&amp;M %</t>
  </si>
  <si>
    <t>Active R&amp;D %</t>
  </si>
  <si>
    <t>Active G&amp;A %</t>
  </si>
  <si>
    <t>Active CapEx %</t>
  </si>
  <si>
    <t xml:space="preserve">Assumptions </t>
  </si>
  <si>
    <t>Monthly Churn %</t>
  </si>
  <si>
    <t xml:space="preserve">Monthly New Customer Growth % </t>
  </si>
  <si>
    <t xml:space="preserve">Customer Drivers </t>
  </si>
  <si>
    <t xml:space="preserve">Beginning Cusotmers </t>
  </si>
  <si>
    <t xml:space="preserve">New Customers </t>
  </si>
  <si>
    <t xml:space="preserve">Churned Customers </t>
  </si>
  <si>
    <t xml:space="preserve">Ending Customers </t>
  </si>
  <si>
    <t xml:space="preserve">Pricing &amp; Revenue Drivers </t>
  </si>
  <si>
    <t>Monthly ARPU ($)</t>
  </si>
  <si>
    <t>Expansion Rate (%)</t>
  </si>
  <si>
    <t>Calculated Outputs (Locked)</t>
  </si>
  <si>
    <t xml:space="preserve">Gross MRR </t>
  </si>
  <si>
    <t>Expansion MRR</t>
  </si>
  <si>
    <t>Total MRR</t>
  </si>
  <si>
    <t xml:space="preserve">Total ARR </t>
  </si>
  <si>
    <t>Cost of Revenue %</t>
  </si>
  <si>
    <t xml:space="preserve">S&amp;M % of Revenue </t>
  </si>
  <si>
    <t xml:space="preserve">R&amp;D % of Revenue </t>
  </si>
  <si>
    <t xml:space="preserve">G&amp;A % of Revenue </t>
  </si>
  <si>
    <t xml:space="preserve">Revenue </t>
  </si>
  <si>
    <t xml:space="preserve">Cost of Revenue </t>
  </si>
  <si>
    <t xml:space="preserve">Gross Profit </t>
  </si>
  <si>
    <t>Gross Margin %</t>
  </si>
  <si>
    <t xml:space="preserve">Operating Expenses </t>
  </si>
  <si>
    <t xml:space="preserve">Sales &amp; Marketing </t>
  </si>
  <si>
    <t>R&amp;D</t>
  </si>
  <si>
    <t xml:space="preserve">General &amp; Administrative </t>
  </si>
  <si>
    <t>Total OpEx</t>
  </si>
  <si>
    <t>EBTIDA</t>
  </si>
  <si>
    <t xml:space="preserve">CapEx % of Revenue </t>
  </si>
  <si>
    <t xml:space="preserve">Liquidity &amp; Runway Metrics </t>
  </si>
  <si>
    <t xml:space="preserve">Avg Monthly Net Cash Flow </t>
  </si>
  <si>
    <t xml:space="preserve">Current Cash Balance </t>
  </si>
  <si>
    <t xml:space="preserve">Monthly Burn </t>
  </si>
  <si>
    <t>Months of Runway</t>
  </si>
  <si>
    <t xml:space="preserve">Cash Flow from Operations </t>
  </si>
  <si>
    <t xml:space="preserve">Change in Working Capital </t>
  </si>
  <si>
    <t xml:space="preserve">Operating Cash Flow </t>
  </si>
  <si>
    <t xml:space="preserve">Cash Flow from Investing </t>
  </si>
  <si>
    <t xml:space="preserve">Capital Expenditures </t>
  </si>
  <si>
    <t xml:space="preserve">Investing Cash Flow </t>
  </si>
  <si>
    <t xml:space="preserve">Cash Flow from Financing </t>
  </si>
  <si>
    <t xml:space="preserve">Financing Cash Flow </t>
  </si>
  <si>
    <t xml:space="preserve">Net Cash Flow </t>
  </si>
  <si>
    <t xml:space="preserve">Beginning Cash </t>
  </si>
  <si>
    <t xml:space="preserve">Ending Cash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</si>
</sst>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Font="1" applyNumberFormat="1"/>
    <xf borderId="0" fillId="0" fontId="1" numFmtId="9" xfId="0" applyFont="1" applyNumberFormat="1"/>
    <xf borderId="0" fillId="0" fontId="1" numFmtId="164" xfId="0" applyAlignment="1" applyFont="1" applyNumberFormat="1">
      <alignment readingOrder="0"/>
    </xf>
    <xf borderId="0" fillId="0" fontId="1" numFmtId="14" xfId="0" applyFont="1" applyNumberFormat="1"/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0</v>
      </c>
      <c r="B1" s="1" t="s">
        <v>1</v>
      </c>
    </row>
    <row r="2">
      <c r="A2" s="2"/>
    </row>
    <row r="3">
      <c r="A3" s="2" t="s">
        <v>2</v>
      </c>
    </row>
    <row r="4">
      <c r="A4" s="2" t="s">
        <v>3</v>
      </c>
      <c r="B4" s="1" t="s">
        <v>1</v>
      </c>
      <c r="C4" s="1" t="s">
        <v>4</v>
      </c>
      <c r="D4" s="1" t="s">
        <v>5</v>
      </c>
    </row>
    <row r="5">
      <c r="A5" s="1" t="s">
        <v>6</v>
      </c>
      <c r="B5" s="3">
        <v>0.04</v>
      </c>
      <c r="C5" s="3">
        <v>0.05</v>
      </c>
      <c r="D5" s="3">
        <v>0.03</v>
      </c>
    </row>
    <row r="6">
      <c r="A6" s="1" t="s">
        <v>7</v>
      </c>
      <c r="B6" s="3">
        <v>0.02</v>
      </c>
      <c r="C6" s="3">
        <v>0.015</v>
      </c>
      <c r="D6" s="3">
        <v>0.03</v>
      </c>
    </row>
    <row r="7">
      <c r="A7" s="1" t="s">
        <v>8</v>
      </c>
      <c r="B7" s="4">
        <v>0.35</v>
      </c>
      <c r="C7" s="4">
        <v>0.32</v>
      </c>
      <c r="D7" s="4">
        <v>0.4</v>
      </c>
    </row>
    <row r="8">
      <c r="A8" s="1" t="s">
        <v>9</v>
      </c>
      <c r="B8" s="4">
        <v>0.2</v>
      </c>
      <c r="C8" s="4">
        <v>0.18</v>
      </c>
      <c r="D8" s="4">
        <v>0.22</v>
      </c>
    </row>
    <row r="9">
      <c r="A9" s="1" t="s">
        <v>10</v>
      </c>
      <c r="B9" s="4">
        <v>0.15</v>
      </c>
      <c r="C9" s="4">
        <v>0.14</v>
      </c>
      <c r="D9" s="4">
        <v>0.16</v>
      </c>
    </row>
    <row r="10">
      <c r="A10" s="1" t="s">
        <v>11</v>
      </c>
      <c r="B10" s="4">
        <v>0.03</v>
      </c>
      <c r="C10" s="3">
        <v>0.025</v>
      </c>
      <c r="D10" s="4">
        <v>0.04</v>
      </c>
    </row>
    <row r="11">
      <c r="A11" s="2"/>
    </row>
    <row r="12">
      <c r="A12" s="2" t="s">
        <v>12</v>
      </c>
    </row>
    <row r="13">
      <c r="A13" s="2" t="s">
        <v>13</v>
      </c>
      <c r="B13" s="5">
        <f t="array" ref="B13">INDEX(B5:D5, MATCH($B$1, B4:D4, 0))</f>
        <v>0.04</v>
      </c>
    </row>
    <row r="14">
      <c r="A14" s="2" t="s">
        <v>14</v>
      </c>
      <c r="B14" s="5">
        <f t="array" ref="B14">INDEX(B6:D6, MATCH($B$1, B4:D4, 0))</f>
        <v>0.02</v>
      </c>
    </row>
    <row r="15">
      <c r="A15" s="2" t="s">
        <v>15</v>
      </c>
      <c r="B15" s="6">
        <f t="array" ref="B15">INDEX(B7:D7, MATCH($B$1, B4:D4, 0))</f>
        <v>0.35</v>
      </c>
    </row>
    <row r="16">
      <c r="A16" s="2" t="s">
        <v>16</v>
      </c>
      <c r="B16" s="6">
        <f t="array" ref="B16">INDEX(B8:D8, MATCH($B$1, B4:D4, 0))</f>
        <v>0.2</v>
      </c>
    </row>
    <row r="17">
      <c r="A17" s="2" t="s">
        <v>17</v>
      </c>
      <c r="B17" s="6">
        <f t="array" ref="B17">INDEX(B9:D9, MATCH($B$1, B4:D4, 0))</f>
        <v>0.15</v>
      </c>
    </row>
    <row r="18">
      <c r="A18" s="2" t="s">
        <v>18</v>
      </c>
      <c r="B18" s="6">
        <f t="array" ref="B18">INDEX(B10:D10, MATCH($B$1, B4:D4, 0))</f>
        <v>0.03</v>
      </c>
    </row>
    <row r="19">
      <c r="A19" s="2"/>
    </row>
    <row r="20">
      <c r="A20" s="2" t="s">
        <v>19</v>
      </c>
    </row>
    <row r="21">
      <c r="A21" s="1" t="s">
        <v>20</v>
      </c>
      <c r="B21" s="3">
        <f>B14</f>
        <v>0.02</v>
      </c>
    </row>
    <row r="22">
      <c r="A22" s="1" t="s">
        <v>21</v>
      </c>
      <c r="B22" s="3">
        <f>B13</f>
        <v>0.04</v>
      </c>
    </row>
    <row r="23">
      <c r="B23" s="7">
        <v>46023.0</v>
      </c>
      <c r="C23" s="8">
        <f t="shared" ref="C23:AK23" si="1">EDATE(B23,1)</f>
        <v>46054</v>
      </c>
      <c r="D23" s="8">
        <f t="shared" si="1"/>
        <v>46082</v>
      </c>
      <c r="E23" s="8">
        <f t="shared" si="1"/>
        <v>46113</v>
      </c>
      <c r="F23" s="8">
        <f t="shared" si="1"/>
        <v>46143</v>
      </c>
      <c r="G23" s="8">
        <f t="shared" si="1"/>
        <v>46174</v>
      </c>
      <c r="H23" s="8">
        <f t="shared" si="1"/>
        <v>46204</v>
      </c>
      <c r="I23" s="8">
        <f t="shared" si="1"/>
        <v>46235</v>
      </c>
      <c r="J23" s="8">
        <f t="shared" si="1"/>
        <v>46266</v>
      </c>
      <c r="K23" s="8">
        <f t="shared" si="1"/>
        <v>46296</v>
      </c>
      <c r="L23" s="8">
        <f t="shared" si="1"/>
        <v>46327</v>
      </c>
      <c r="M23" s="8">
        <f t="shared" si="1"/>
        <v>46357</v>
      </c>
      <c r="N23" s="8">
        <f t="shared" si="1"/>
        <v>46388</v>
      </c>
      <c r="O23" s="8">
        <f t="shared" si="1"/>
        <v>46419</v>
      </c>
      <c r="P23" s="8">
        <f t="shared" si="1"/>
        <v>46447</v>
      </c>
      <c r="Q23" s="8">
        <f t="shared" si="1"/>
        <v>46478</v>
      </c>
      <c r="R23" s="8">
        <f t="shared" si="1"/>
        <v>46508</v>
      </c>
      <c r="S23" s="8">
        <f t="shared" si="1"/>
        <v>46539</v>
      </c>
      <c r="T23" s="8">
        <f t="shared" si="1"/>
        <v>46569</v>
      </c>
      <c r="U23" s="8">
        <f t="shared" si="1"/>
        <v>46600</v>
      </c>
      <c r="V23" s="8">
        <f t="shared" si="1"/>
        <v>46631</v>
      </c>
      <c r="W23" s="8">
        <f t="shared" si="1"/>
        <v>46661</v>
      </c>
      <c r="X23" s="8">
        <f t="shared" si="1"/>
        <v>46692</v>
      </c>
      <c r="Y23" s="8">
        <f t="shared" si="1"/>
        <v>46722</v>
      </c>
      <c r="Z23" s="8">
        <f t="shared" si="1"/>
        <v>46753</v>
      </c>
      <c r="AA23" s="8">
        <f t="shared" si="1"/>
        <v>46784</v>
      </c>
      <c r="AB23" s="8">
        <f t="shared" si="1"/>
        <v>46813</v>
      </c>
      <c r="AC23" s="8">
        <f t="shared" si="1"/>
        <v>46844</v>
      </c>
      <c r="AD23" s="8">
        <f t="shared" si="1"/>
        <v>46874</v>
      </c>
      <c r="AE23" s="8">
        <f t="shared" si="1"/>
        <v>46905</v>
      </c>
      <c r="AF23" s="8">
        <f t="shared" si="1"/>
        <v>46935</v>
      </c>
      <c r="AG23" s="8">
        <f t="shared" si="1"/>
        <v>46966</v>
      </c>
      <c r="AH23" s="8">
        <f t="shared" si="1"/>
        <v>46997</v>
      </c>
      <c r="AI23" s="8">
        <f t="shared" si="1"/>
        <v>47027</v>
      </c>
      <c r="AJ23" s="8">
        <f t="shared" si="1"/>
        <v>47058</v>
      </c>
      <c r="AK23" s="8">
        <f t="shared" si="1"/>
        <v>47088</v>
      </c>
    </row>
    <row r="25">
      <c r="A25" s="2" t="s">
        <v>22</v>
      </c>
    </row>
    <row r="26">
      <c r="A26" s="1" t="s">
        <v>23</v>
      </c>
      <c r="B26" s="9">
        <v>1000.0</v>
      </c>
      <c r="C26" s="9">
        <f t="shared" ref="C26:AK26" si="2">B29</f>
        <v>1020</v>
      </c>
      <c r="D26" s="9">
        <f t="shared" si="2"/>
        <v>1040.6</v>
      </c>
      <c r="E26" s="9">
        <f t="shared" si="2"/>
        <v>1061.788</v>
      </c>
      <c r="F26" s="9">
        <f t="shared" si="2"/>
        <v>1082.55224</v>
      </c>
      <c r="G26" s="9">
        <f t="shared" si="2"/>
        <v>1103.901195</v>
      </c>
      <c r="H26" s="9">
        <f t="shared" si="2"/>
        <v>1125.823171</v>
      </c>
      <c r="I26" s="9">
        <f t="shared" si="2"/>
        <v>1148.306708</v>
      </c>
      <c r="J26" s="9">
        <f t="shared" si="2"/>
        <v>1171.340574</v>
      </c>
      <c r="K26" s="9">
        <f t="shared" si="2"/>
        <v>1194.913762</v>
      </c>
      <c r="L26" s="9">
        <f t="shared" si="2"/>
        <v>1219.015487</v>
      </c>
      <c r="M26" s="9">
        <f t="shared" si="2"/>
        <v>1243.635177</v>
      </c>
      <c r="N26" s="9">
        <f t="shared" si="2"/>
        <v>1268.762474</v>
      </c>
      <c r="O26" s="9">
        <f t="shared" si="2"/>
        <v>1294.387224</v>
      </c>
      <c r="P26" s="9">
        <f t="shared" si="2"/>
        <v>1320.49948</v>
      </c>
      <c r="Q26" s="9">
        <f t="shared" si="2"/>
        <v>1347.08949</v>
      </c>
      <c r="R26" s="9">
        <f t="shared" si="2"/>
        <v>1374.1477</v>
      </c>
      <c r="S26" s="9">
        <f t="shared" si="2"/>
        <v>1401.664746</v>
      </c>
      <c r="T26" s="9">
        <f t="shared" si="2"/>
        <v>1429.631451</v>
      </c>
      <c r="U26" s="9">
        <f t="shared" si="2"/>
        <v>1458.038822</v>
      </c>
      <c r="V26" s="9">
        <f t="shared" si="2"/>
        <v>1486.878046</v>
      </c>
      <c r="W26" s="9">
        <f t="shared" si="2"/>
        <v>1516.140485</v>
      </c>
      <c r="X26" s="9">
        <f t="shared" si="2"/>
        <v>1546.817675</v>
      </c>
      <c r="Y26" s="9">
        <f t="shared" si="2"/>
        <v>1577.881322</v>
      </c>
      <c r="Z26" s="9">
        <f t="shared" si="2"/>
        <v>1609.323695</v>
      </c>
      <c r="AA26" s="9">
        <f t="shared" si="2"/>
        <v>1641.137221</v>
      </c>
      <c r="AB26" s="9">
        <f t="shared" si="2"/>
        <v>1674.314477</v>
      </c>
      <c r="AC26" s="9">
        <f t="shared" si="2"/>
        <v>1707.828188</v>
      </c>
      <c r="AD26" s="9">
        <f t="shared" si="2"/>
        <v>1741.671624</v>
      </c>
      <c r="AE26" s="9">
        <f t="shared" si="2"/>
        <v>1776.838191</v>
      </c>
      <c r="AF26" s="9">
        <f t="shared" si="2"/>
        <v>1812.301427</v>
      </c>
      <c r="AG26" s="9">
        <f t="shared" si="2"/>
        <v>1848.055399</v>
      </c>
      <c r="AH26" s="9">
        <f t="shared" si="2"/>
        <v>1885.094291</v>
      </c>
      <c r="AI26" s="9">
        <f t="shared" si="2"/>
        <v>1922.392405</v>
      </c>
      <c r="AJ26" s="9">
        <f t="shared" si="2"/>
        <v>1960.944557</v>
      </c>
      <c r="AK26" s="9">
        <f t="shared" si="2"/>
        <v>1999.725666</v>
      </c>
    </row>
    <row r="27">
      <c r="A27" s="1" t="s">
        <v>24</v>
      </c>
      <c r="B27" s="9">
        <f t="shared" ref="B27:AK27" si="3">ROUND(B26*$B$22,0)</f>
        <v>40</v>
      </c>
      <c r="C27" s="9">
        <f t="shared" si="3"/>
        <v>41</v>
      </c>
      <c r="D27" s="9">
        <f t="shared" si="3"/>
        <v>42</v>
      </c>
      <c r="E27" s="9">
        <f t="shared" si="3"/>
        <v>42</v>
      </c>
      <c r="F27" s="9">
        <f t="shared" si="3"/>
        <v>43</v>
      </c>
      <c r="G27" s="9">
        <f t="shared" si="3"/>
        <v>44</v>
      </c>
      <c r="H27" s="9">
        <f t="shared" si="3"/>
        <v>45</v>
      </c>
      <c r="I27" s="9">
        <f t="shared" si="3"/>
        <v>46</v>
      </c>
      <c r="J27" s="9">
        <f t="shared" si="3"/>
        <v>47</v>
      </c>
      <c r="K27" s="9">
        <f t="shared" si="3"/>
        <v>48</v>
      </c>
      <c r="L27" s="9">
        <f t="shared" si="3"/>
        <v>49</v>
      </c>
      <c r="M27" s="9">
        <f t="shared" si="3"/>
        <v>50</v>
      </c>
      <c r="N27" s="9">
        <f t="shared" si="3"/>
        <v>51</v>
      </c>
      <c r="O27" s="9">
        <f t="shared" si="3"/>
        <v>52</v>
      </c>
      <c r="P27" s="9">
        <f t="shared" si="3"/>
        <v>53</v>
      </c>
      <c r="Q27" s="9">
        <f t="shared" si="3"/>
        <v>54</v>
      </c>
      <c r="R27" s="9">
        <f t="shared" si="3"/>
        <v>55</v>
      </c>
      <c r="S27" s="9">
        <f t="shared" si="3"/>
        <v>56</v>
      </c>
      <c r="T27" s="9">
        <f t="shared" si="3"/>
        <v>57</v>
      </c>
      <c r="U27" s="9">
        <f t="shared" si="3"/>
        <v>58</v>
      </c>
      <c r="V27" s="9">
        <f t="shared" si="3"/>
        <v>59</v>
      </c>
      <c r="W27" s="9">
        <f t="shared" si="3"/>
        <v>61</v>
      </c>
      <c r="X27" s="9">
        <f t="shared" si="3"/>
        <v>62</v>
      </c>
      <c r="Y27" s="9">
        <f t="shared" si="3"/>
        <v>63</v>
      </c>
      <c r="Z27" s="9">
        <f t="shared" si="3"/>
        <v>64</v>
      </c>
      <c r="AA27" s="9">
        <f t="shared" si="3"/>
        <v>66</v>
      </c>
      <c r="AB27" s="9">
        <f t="shared" si="3"/>
        <v>67</v>
      </c>
      <c r="AC27" s="9">
        <f t="shared" si="3"/>
        <v>68</v>
      </c>
      <c r="AD27" s="9">
        <f t="shared" si="3"/>
        <v>70</v>
      </c>
      <c r="AE27" s="9">
        <f t="shared" si="3"/>
        <v>71</v>
      </c>
      <c r="AF27" s="9">
        <f t="shared" si="3"/>
        <v>72</v>
      </c>
      <c r="AG27" s="9">
        <f t="shared" si="3"/>
        <v>74</v>
      </c>
      <c r="AH27" s="9">
        <f t="shared" si="3"/>
        <v>75</v>
      </c>
      <c r="AI27" s="9">
        <f t="shared" si="3"/>
        <v>77</v>
      </c>
      <c r="AJ27" s="9">
        <f t="shared" si="3"/>
        <v>78</v>
      </c>
      <c r="AK27" s="9">
        <f t="shared" si="3"/>
        <v>80</v>
      </c>
    </row>
    <row r="28">
      <c r="A28" s="1" t="s">
        <v>25</v>
      </c>
      <c r="B28" s="9">
        <f t="shared" ref="B28:AK28" si="4">-B26*$B$21</f>
        <v>-20</v>
      </c>
      <c r="C28" s="9">
        <f t="shared" si="4"/>
        <v>-20.4</v>
      </c>
      <c r="D28" s="9">
        <f t="shared" si="4"/>
        <v>-20.812</v>
      </c>
      <c r="E28" s="9">
        <f t="shared" si="4"/>
        <v>-21.23576</v>
      </c>
      <c r="F28" s="9">
        <f t="shared" si="4"/>
        <v>-21.6510448</v>
      </c>
      <c r="G28" s="9">
        <f t="shared" si="4"/>
        <v>-22.0780239</v>
      </c>
      <c r="H28" s="9">
        <f t="shared" si="4"/>
        <v>-22.51646343</v>
      </c>
      <c r="I28" s="9">
        <f t="shared" si="4"/>
        <v>-22.96613416</v>
      </c>
      <c r="J28" s="9">
        <f t="shared" si="4"/>
        <v>-23.42681147</v>
      </c>
      <c r="K28" s="9">
        <f t="shared" si="4"/>
        <v>-23.89827524</v>
      </c>
      <c r="L28" s="9">
        <f t="shared" si="4"/>
        <v>-24.38030974</v>
      </c>
      <c r="M28" s="9">
        <f t="shared" si="4"/>
        <v>-24.87270355</v>
      </c>
      <c r="N28" s="9">
        <f t="shared" si="4"/>
        <v>-25.37524947</v>
      </c>
      <c r="O28" s="9">
        <f t="shared" si="4"/>
        <v>-25.88774448</v>
      </c>
      <c r="P28" s="9">
        <f t="shared" si="4"/>
        <v>-26.40998959</v>
      </c>
      <c r="Q28" s="9">
        <f t="shared" si="4"/>
        <v>-26.9417898</v>
      </c>
      <c r="R28" s="9">
        <f t="shared" si="4"/>
        <v>-27.48295401</v>
      </c>
      <c r="S28" s="9">
        <f t="shared" si="4"/>
        <v>-28.03329493</v>
      </c>
      <c r="T28" s="9">
        <f t="shared" si="4"/>
        <v>-28.59262903</v>
      </c>
      <c r="U28" s="9">
        <f t="shared" si="4"/>
        <v>-29.16077645</v>
      </c>
      <c r="V28" s="9">
        <f t="shared" si="4"/>
        <v>-29.73756092</v>
      </c>
      <c r="W28" s="9">
        <f t="shared" si="4"/>
        <v>-30.3228097</v>
      </c>
      <c r="X28" s="9">
        <f t="shared" si="4"/>
        <v>-30.93635351</v>
      </c>
      <c r="Y28" s="9">
        <f t="shared" si="4"/>
        <v>-31.55762644</v>
      </c>
      <c r="Z28" s="9">
        <f t="shared" si="4"/>
        <v>-32.18647391</v>
      </c>
      <c r="AA28" s="9">
        <f t="shared" si="4"/>
        <v>-32.82274443</v>
      </c>
      <c r="AB28" s="9">
        <f t="shared" si="4"/>
        <v>-33.48628954</v>
      </c>
      <c r="AC28" s="9">
        <f t="shared" si="4"/>
        <v>-34.15656375</v>
      </c>
      <c r="AD28" s="9">
        <f t="shared" si="4"/>
        <v>-34.83343248</v>
      </c>
      <c r="AE28" s="9">
        <f t="shared" si="4"/>
        <v>-35.53676383</v>
      </c>
      <c r="AF28" s="9">
        <f t="shared" si="4"/>
        <v>-36.24602855</v>
      </c>
      <c r="AG28" s="9">
        <f t="shared" si="4"/>
        <v>-36.96110798</v>
      </c>
      <c r="AH28" s="9">
        <f t="shared" si="4"/>
        <v>-37.70188582</v>
      </c>
      <c r="AI28" s="9">
        <f t="shared" si="4"/>
        <v>-38.4478481</v>
      </c>
      <c r="AJ28" s="9">
        <f t="shared" si="4"/>
        <v>-39.21889114</v>
      </c>
      <c r="AK28" s="9">
        <f t="shared" si="4"/>
        <v>-39.99451332</v>
      </c>
    </row>
    <row r="29">
      <c r="A29" s="1" t="s">
        <v>26</v>
      </c>
      <c r="B29" s="9">
        <f t="shared" ref="B29:AK29" si="5">B26+B27+B28</f>
        <v>1020</v>
      </c>
      <c r="C29" s="9">
        <f t="shared" si="5"/>
        <v>1040.6</v>
      </c>
      <c r="D29" s="9">
        <f t="shared" si="5"/>
        <v>1061.788</v>
      </c>
      <c r="E29" s="9">
        <f t="shared" si="5"/>
        <v>1082.55224</v>
      </c>
      <c r="F29" s="9">
        <f t="shared" si="5"/>
        <v>1103.901195</v>
      </c>
      <c r="G29" s="9">
        <f t="shared" si="5"/>
        <v>1125.823171</v>
      </c>
      <c r="H29" s="9">
        <f t="shared" si="5"/>
        <v>1148.306708</v>
      </c>
      <c r="I29" s="9">
        <f t="shared" si="5"/>
        <v>1171.340574</v>
      </c>
      <c r="J29" s="9">
        <f t="shared" si="5"/>
        <v>1194.913762</v>
      </c>
      <c r="K29" s="9">
        <f t="shared" si="5"/>
        <v>1219.015487</v>
      </c>
      <c r="L29" s="9">
        <f t="shared" si="5"/>
        <v>1243.635177</v>
      </c>
      <c r="M29" s="9">
        <f t="shared" si="5"/>
        <v>1268.762474</v>
      </c>
      <c r="N29" s="9">
        <f t="shared" si="5"/>
        <v>1294.387224</v>
      </c>
      <c r="O29" s="9">
        <f t="shared" si="5"/>
        <v>1320.49948</v>
      </c>
      <c r="P29" s="9">
        <f t="shared" si="5"/>
        <v>1347.08949</v>
      </c>
      <c r="Q29" s="9">
        <f t="shared" si="5"/>
        <v>1374.1477</v>
      </c>
      <c r="R29" s="9">
        <f t="shared" si="5"/>
        <v>1401.664746</v>
      </c>
      <c r="S29" s="9">
        <f t="shared" si="5"/>
        <v>1429.631451</v>
      </c>
      <c r="T29" s="9">
        <f t="shared" si="5"/>
        <v>1458.038822</v>
      </c>
      <c r="U29" s="9">
        <f t="shared" si="5"/>
        <v>1486.878046</v>
      </c>
      <c r="V29" s="9">
        <f t="shared" si="5"/>
        <v>1516.140485</v>
      </c>
      <c r="W29" s="9">
        <f t="shared" si="5"/>
        <v>1546.817675</v>
      </c>
      <c r="X29" s="9">
        <f t="shared" si="5"/>
        <v>1577.881322</v>
      </c>
      <c r="Y29" s="9">
        <f t="shared" si="5"/>
        <v>1609.323695</v>
      </c>
      <c r="Z29" s="9">
        <f t="shared" si="5"/>
        <v>1641.137221</v>
      </c>
      <c r="AA29" s="9">
        <f t="shared" si="5"/>
        <v>1674.314477</v>
      </c>
      <c r="AB29" s="9">
        <f t="shared" si="5"/>
        <v>1707.828188</v>
      </c>
      <c r="AC29" s="9">
        <f t="shared" si="5"/>
        <v>1741.671624</v>
      </c>
      <c r="AD29" s="9">
        <f t="shared" si="5"/>
        <v>1776.838191</v>
      </c>
      <c r="AE29" s="9">
        <f t="shared" si="5"/>
        <v>1812.301427</v>
      </c>
      <c r="AF29" s="9">
        <f t="shared" si="5"/>
        <v>1848.055399</v>
      </c>
      <c r="AG29" s="9">
        <f t="shared" si="5"/>
        <v>1885.094291</v>
      </c>
      <c r="AH29" s="9">
        <f t="shared" si="5"/>
        <v>1922.392405</v>
      </c>
      <c r="AI29" s="9">
        <f t="shared" si="5"/>
        <v>1960.944557</v>
      </c>
      <c r="AJ29" s="9">
        <f t="shared" si="5"/>
        <v>1999.725666</v>
      </c>
      <c r="AK29" s="9">
        <f t="shared" si="5"/>
        <v>2039.731153</v>
      </c>
    </row>
    <row r="31">
      <c r="A31" s="2" t="s">
        <v>27</v>
      </c>
    </row>
    <row r="32">
      <c r="A32" s="1" t="s">
        <v>28</v>
      </c>
      <c r="B32" s="10">
        <v>120.0</v>
      </c>
      <c r="C32" s="10">
        <v>120.0</v>
      </c>
      <c r="D32" s="10">
        <v>120.0</v>
      </c>
      <c r="E32" s="10">
        <v>120.0</v>
      </c>
      <c r="F32" s="10">
        <v>120.0</v>
      </c>
      <c r="G32" s="10">
        <v>120.0</v>
      </c>
      <c r="H32" s="10">
        <v>120.0</v>
      </c>
      <c r="I32" s="10">
        <v>120.0</v>
      </c>
      <c r="J32" s="10">
        <v>120.0</v>
      </c>
      <c r="K32" s="10">
        <v>120.0</v>
      </c>
      <c r="L32" s="10">
        <v>120.0</v>
      </c>
      <c r="M32" s="10">
        <v>120.0</v>
      </c>
      <c r="N32" s="10">
        <v>120.0</v>
      </c>
      <c r="O32" s="10">
        <v>120.0</v>
      </c>
      <c r="P32" s="10">
        <v>120.0</v>
      </c>
      <c r="Q32" s="10">
        <v>120.0</v>
      </c>
      <c r="R32" s="10">
        <v>120.0</v>
      </c>
      <c r="S32" s="10">
        <v>120.0</v>
      </c>
      <c r="T32" s="10">
        <v>120.0</v>
      </c>
      <c r="U32" s="10">
        <v>120.0</v>
      </c>
      <c r="V32" s="10">
        <v>120.0</v>
      </c>
      <c r="W32" s="10">
        <v>120.0</v>
      </c>
      <c r="X32" s="10">
        <v>120.0</v>
      </c>
      <c r="Y32" s="10">
        <v>120.0</v>
      </c>
      <c r="Z32" s="10">
        <v>120.0</v>
      </c>
      <c r="AA32" s="10">
        <v>120.0</v>
      </c>
      <c r="AB32" s="10">
        <v>120.0</v>
      </c>
      <c r="AC32" s="10">
        <v>120.0</v>
      </c>
      <c r="AD32" s="10">
        <v>120.0</v>
      </c>
      <c r="AE32" s="10">
        <v>120.0</v>
      </c>
      <c r="AF32" s="10">
        <v>120.0</v>
      </c>
      <c r="AG32" s="10">
        <v>120.0</v>
      </c>
      <c r="AH32" s="10">
        <v>120.0</v>
      </c>
      <c r="AI32" s="10">
        <v>120.0</v>
      </c>
      <c r="AJ32" s="10">
        <v>120.0</v>
      </c>
      <c r="AK32" s="10">
        <v>120.0</v>
      </c>
    </row>
    <row r="33">
      <c r="A33" s="1" t="s">
        <v>29</v>
      </c>
      <c r="B33" s="3">
        <v>0.005</v>
      </c>
      <c r="C33" s="3">
        <v>0.005</v>
      </c>
      <c r="D33" s="3">
        <v>0.005</v>
      </c>
      <c r="E33" s="3">
        <v>0.005</v>
      </c>
      <c r="F33" s="3">
        <v>0.005</v>
      </c>
      <c r="G33" s="3">
        <v>0.005</v>
      </c>
      <c r="H33" s="3">
        <v>0.005</v>
      </c>
      <c r="I33" s="3">
        <v>0.005</v>
      </c>
      <c r="J33" s="3">
        <v>0.005</v>
      </c>
      <c r="K33" s="3">
        <v>0.005</v>
      </c>
      <c r="L33" s="3">
        <v>0.005</v>
      </c>
      <c r="M33" s="3">
        <v>0.005</v>
      </c>
      <c r="N33" s="3">
        <v>0.005</v>
      </c>
      <c r="O33" s="3">
        <v>0.005</v>
      </c>
      <c r="P33" s="3">
        <v>0.005</v>
      </c>
      <c r="Q33" s="3">
        <v>0.005</v>
      </c>
      <c r="R33" s="3">
        <v>0.005</v>
      </c>
      <c r="S33" s="3">
        <v>0.005</v>
      </c>
      <c r="T33" s="3">
        <v>0.005</v>
      </c>
      <c r="U33" s="3">
        <v>0.005</v>
      </c>
      <c r="V33" s="3">
        <v>0.005</v>
      </c>
      <c r="W33" s="3">
        <v>0.005</v>
      </c>
      <c r="X33" s="3">
        <v>0.005</v>
      </c>
      <c r="Y33" s="3">
        <v>0.005</v>
      </c>
      <c r="Z33" s="3">
        <v>0.005</v>
      </c>
      <c r="AA33" s="3">
        <v>0.005</v>
      </c>
      <c r="AB33" s="3">
        <v>0.005</v>
      </c>
      <c r="AC33" s="3">
        <v>0.005</v>
      </c>
      <c r="AD33" s="3">
        <v>0.005</v>
      </c>
      <c r="AE33" s="3">
        <v>0.005</v>
      </c>
      <c r="AF33" s="3">
        <v>0.005</v>
      </c>
      <c r="AG33" s="3">
        <v>0.005</v>
      </c>
      <c r="AH33" s="3">
        <v>0.005</v>
      </c>
      <c r="AI33" s="3">
        <v>0.005</v>
      </c>
      <c r="AJ33" s="3">
        <v>0.005</v>
      </c>
      <c r="AK33" s="3">
        <v>0.005</v>
      </c>
    </row>
    <row r="35">
      <c r="A35" s="2" t="s">
        <v>30</v>
      </c>
    </row>
    <row r="36">
      <c r="A36" s="1" t="s">
        <v>31</v>
      </c>
      <c r="B36" s="11">
        <f t="shared" ref="B36:AK36" si="6">B29*B32</f>
        <v>122400</v>
      </c>
      <c r="C36" s="11">
        <f t="shared" si="6"/>
        <v>124872</v>
      </c>
      <c r="D36" s="11">
        <f t="shared" si="6"/>
        <v>127414.56</v>
      </c>
      <c r="E36" s="11">
        <f t="shared" si="6"/>
        <v>129906.2688</v>
      </c>
      <c r="F36" s="11">
        <f t="shared" si="6"/>
        <v>132468.1434</v>
      </c>
      <c r="G36" s="11">
        <f t="shared" si="6"/>
        <v>135098.7806</v>
      </c>
      <c r="H36" s="11">
        <f t="shared" si="6"/>
        <v>137796.8049</v>
      </c>
      <c r="I36" s="11">
        <f t="shared" si="6"/>
        <v>140560.8688</v>
      </c>
      <c r="J36" s="11">
        <f t="shared" si="6"/>
        <v>143389.6515</v>
      </c>
      <c r="K36" s="11">
        <f t="shared" si="6"/>
        <v>146281.8584</v>
      </c>
      <c r="L36" s="11">
        <f t="shared" si="6"/>
        <v>149236.2213</v>
      </c>
      <c r="M36" s="11">
        <f t="shared" si="6"/>
        <v>152251.4968</v>
      </c>
      <c r="N36" s="11">
        <f t="shared" si="6"/>
        <v>155326.4669</v>
      </c>
      <c r="O36" s="11">
        <f t="shared" si="6"/>
        <v>158459.9376</v>
      </c>
      <c r="P36" s="11">
        <f t="shared" si="6"/>
        <v>161650.7388</v>
      </c>
      <c r="Q36" s="11">
        <f t="shared" si="6"/>
        <v>164897.724</v>
      </c>
      <c r="R36" s="11">
        <f t="shared" si="6"/>
        <v>168199.7696</v>
      </c>
      <c r="S36" s="11">
        <f t="shared" si="6"/>
        <v>171555.7742</v>
      </c>
      <c r="T36" s="11">
        <f t="shared" si="6"/>
        <v>174964.6587</v>
      </c>
      <c r="U36" s="11">
        <f t="shared" si="6"/>
        <v>178425.3655</v>
      </c>
      <c r="V36" s="11">
        <f t="shared" si="6"/>
        <v>181936.8582</v>
      </c>
      <c r="W36" s="11">
        <f t="shared" si="6"/>
        <v>185618.121</v>
      </c>
      <c r="X36" s="11">
        <f t="shared" si="6"/>
        <v>189345.7586</v>
      </c>
      <c r="Y36" s="11">
        <f t="shared" si="6"/>
        <v>193118.8434</v>
      </c>
      <c r="Z36" s="11">
        <f t="shared" si="6"/>
        <v>196936.4666</v>
      </c>
      <c r="AA36" s="11">
        <f t="shared" si="6"/>
        <v>200917.7372</v>
      </c>
      <c r="AB36" s="11">
        <f t="shared" si="6"/>
        <v>204939.3825</v>
      </c>
      <c r="AC36" s="11">
        <f t="shared" si="6"/>
        <v>209000.5949</v>
      </c>
      <c r="AD36" s="11">
        <f t="shared" si="6"/>
        <v>213220.583</v>
      </c>
      <c r="AE36" s="11">
        <f t="shared" si="6"/>
        <v>217476.1713</v>
      </c>
      <c r="AF36" s="11">
        <f t="shared" si="6"/>
        <v>221766.6479</v>
      </c>
      <c r="AG36" s="11">
        <f t="shared" si="6"/>
        <v>226211.3149</v>
      </c>
      <c r="AH36" s="11">
        <f t="shared" si="6"/>
        <v>230687.0886</v>
      </c>
      <c r="AI36" s="11">
        <f t="shared" si="6"/>
        <v>235313.3468</v>
      </c>
      <c r="AJ36" s="11">
        <f t="shared" si="6"/>
        <v>239967.0799</v>
      </c>
      <c r="AK36" s="11">
        <f t="shared" si="6"/>
        <v>244767.7383</v>
      </c>
    </row>
    <row r="37">
      <c r="A37" s="1" t="s">
        <v>32</v>
      </c>
      <c r="B37" s="11">
        <f t="shared" ref="B37:AK37" si="7">B36*B33</f>
        <v>612</v>
      </c>
      <c r="C37" s="11">
        <f t="shared" si="7"/>
        <v>624.36</v>
      </c>
      <c r="D37" s="11">
        <f t="shared" si="7"/>
        <v>637.0728</v>
      </c>
      <c r="E37" s="11">
        <f t="shared" si="7"/>
        <v>649.531344</v>
      </c>
      <c r="F37" s="11">
        <f t="shared" si="7"/>
        <v>662.3407171</v>
      </c>
      <c r="G37" s="11">
        <f t="shared" si="7"/>
        <v>675.4939028</v>
      </c>
      <c r="H37" s="11">
        <f t="shared" si="7"/>
        <v>688.9840247</v>
      </c>
      <c r="I37" s="11">
        <f t="shared" si="7"/>
        <v>702.8043442</v>
      </c>
      <c r="J37" s="11">
        <f t="shared" si="7"/>
        <v>716.9482573</v>
      </c>
      <c r="K37" s="11">
        <f t="shared" si="7"/>
        <v>731.4092922</v>
      </c>
      <c r="L37" s="11">
        <f t="shared" si="7"/>
        <v>746.1811064</v>
      </c>
      <c r="M37" s="11">
        <f t="shared" si="7"/>
        <v>761.2574842</v>
      </c>
      <c r="N37" s="11">
        <f t="shared" si="7"/>
        <v>776.6323345</v>
      </c>
      <c r="O37" s="11">
        <f t="shared" si="7"/>
        <v>792.2996878</v>
      </c>
      <c r="P37" s="11">
        <f t="shared" si="7"/>
        <v>808.2536941</v>
      </c>
      <c r="Q37" s="11">
        <f t="shared" si="7"/>
        <v>824.4886202</v>
      </c>
      <c r="R37" s="11">
        <f t="shared" si="7"/>
        <v>840.9988478</v>
      </c>
      <c r="S37" s="11">
        <f t="shared" si="7"/>
        <v>857.7788709</v>
      </c>
      <c r="T37" s="11">
        <f t="shared" si="7"/>
        <v>874.8232934</v>
      </c>
      <c r="U37" s="11">
        <f t="shared" si="7"/>
        <v>892.1268276</v>
      </c>
      <c r="V37" s="11">
        <f t="shared" si="7"/>
        <v>909.684291</v>
      </c>
      <c r="W37" s="11">
        <f t="shared" si="7"/>
        <v>928.0906052</v>
      </c>
      <c r="X37" s="11">
        <f t="shared" si="7"/>
        <v>946.7287931</v>
      </c>
      <c r="Y37" s="11">
        <f t="shared" si="7"/>
        <v>965.5942172</v>
      </c>
      <c r="Z37" s="11">
        <f t="shared" si="7"/>
        <v>984.6823329</v>
      </c>
      <c r="AA37" s="11">
        <f t="shared" si="7"/>
        <v>1004.588686</v>
      </c>
      <c r="AB37" s="11">
        <f t="shared" si="7"/>
        <v>1024.696913</v>
      </c>
      <c r="AC37" s="11">
        <f t="shared" si="7"/>
        <v>1045.002974</v>
      </c>
      <c r="AD37" s="11">
        <f t="shared" si="7"/>
        <v>1066.102915</v>
      </c>
      <c r="AE37" s="11">
        <f t="shared" si="7"/>
        <v>1087.380856</v>
      </c>
      <c r="AF37" s="11">
        <f t="shared" si="7"/>
        <v>1108.833239</v>
      </c>
      <c r="AG37" s="11">
        <f t="shared" si="7"/>
        <v>1131.056575</v>
      </c>
      <c r="AH37" s="11">
        <f t="shared" si="7"/>
        <v>1153.435443</v>
      </c>
      <c r="AI37" s="11">
        <f t="shared" si="7"/>
        <v>1176.566734</v>
      </c>
      <c r="AJ37" s="11">
        <f t="shared" si="7"/>
        <v>1199.8354</v>
      </c>
      <c r="AK37" s="11">
        <f t="shared" si="7"/>
        <v>1223.838692</v>
      </c>
    </row>
    <row r="38">
      <c r="A38" s="1" t="s">
        <v>33</v>
      </c>
      <c r="B38" s="11">
        <f t="shared" ref="B38:AK38" si="8">B36+B37</f>
        <v>123012</v>
      </c>
      <c r="C38" s="11">
        <f t="shared" si="8"/>
        <v>125496.36</v>
      </c>
      <c r="D38" s="11">
        <f t="shared" si="8"/>
        <v>128051.6328</v>
      </c>
      <c r="E38" s="11">
        <f t="shared" si="8"/>
        <v>130555.8001</v>
      </c>
      <c r="F38" s="11">
        <f t="shared" si="8"/>
        <v>133130.4841</v>
      </c>
      <c r="G38" s="11">
        <f t="shared" si="8"/>
        <v>135774.2745</v>
      </c>
      <c r="H38" s="11">
        <f t="shared" si="8"/>
        <v>138485.789</v>
      </c>
      <c r="I38" s="11">
        <f t="shared" si="8"/>
        <v>141263.6732</v>
      </c>
      <c r="J38" s="11">
        <f t="shared" si="8"/>
        <v>144106.5997</v>
      </c>
      <c r="K38" s="11">
        <f t="shared" si="8"/>
        <v>147013.2677</v>
      </c>
      <c r="L38" s="11">
        <f t="shared" si="8"/>
        <v>149982.4024</v>
      </c>
      <c r="M38" s="11">
        <f t="shared" si="8"/>
        <v>153012.7543</v>
      </c>
      <c r="N38" s="11">
        <f t="shared" si="8"/>
        <v>156103.0992</v>
      </c>
      <c r="O38" s="11">
        <f t="shared" si="8"/>
        <v>159252.2373</v>
      </c>
      <c r="P38" s="11">
        <f t="shared" si="8"/>
        <v>162458.9925</v>
      </c>
      <c r="Q38" s="11">
        <f t="shared" si="8"/>
        <v>165722.2127</v>
      </c>
      <c r="R38" s="11">
        <f t="shared" si="8"/>
        <v>169040.7684</v>
      </c>
      <c r="S38" s="11">
        <f t="shared" si="8"/>
        <v>172413.553</v>
      </c>
      <c r="T38" s="11">
        <f t="shared" si="8"/>
        <v>175839.482</v>
      </c>
      <c r="U38" s="11">
        <f t="shared" si="8"/>
        <v>179317.4923</v>
      </c>
      <c r="V38" s="11">
        <f t="shared" si="8"/>
        <v>182846.5425</v>
      </c>
      <c r="W38" s="11">
        <f t="shared" si="8"/>
        <v>186546.2116</v>
      </c>
      <c r="X38" s="11">
        <f t="shared" si="8"/>
        <v>190292.4874</v>
      </c>
      <c r="Y38" s="11">
        <f t="shared" si="8"/>
        <v>194084.4377</v>
      </c>
      <c r="Z38" s="11">
        <f t="shared" si="8"/>
        <v>197921.1489</v>
      </c>
      <c r="AA38" s="11">
        <f t="shared" si="8"/>
        <v>201922.3259</v>
      </c>
      <c r="AB38" s="11">
        <f t="shared" si="8"/>
        <v>205964.0794</v>
      </c>
      <c r="AC38" s="11">
        <f t="shared" si="8"/>
        <v>210045.5978</v>
      </c>
      <c r="AD38" s="11">
        <f t="shared" si="8"/>
        <v>214286.6859</v>
      </c>
      <c r="AE38" s="11">
        <f t="shared" si="8"/>
        <v>218563.5522</v>
      </c>
      <c r="AF38" s="11">
        <f t="shared" si="8"/>
        <v>222875.4811</v>
      </c>
      <c r="AG38" s="11">
        <f t="shared" si="8"/>
        <v>227342.3715</v>
      </c>
      <c r="AH38" s="11">
        <f t="shared" si="8"/>
        <v>231840.5241</v>
      </c>
      <c r="AI38" s="11">
        <f t="shared" si="8"/>
        <v>236489.9136</v>
      </c>
      <c r="AJ38" s="11">
        <f t="shared" si="8"/>
        <v>241166.9153</v>
      </c>
      <c r="AK38" s="11">
        <f t="shared" si="8"/>
        <v>245991.577</v>
      </c>
    </row>
    <row r="39">
      <c r="A39" s="1" t="s">
        <v>34</v>
      </c>
      <c r="B39" s="11">
        <f t="shared" ref="B39:AK39" si="9">B38*12</f>
        <v>1476144</v>
      </c>
      <c r="C39" s="11">
        <f t="shared" si="9"/>
        <v>1505956.32</v>
      </c>
      <c r="D39" s="11">
        <f t="shared" si="9"/>
        <v>1536619.594</v>
      </c>
      <c r="E39" s="11">
        <f t="shared" si="9"/>
        <v>1566669.602</v>
      </c>
      <c r="F39" s="11">
        <f t="shared" si="9"/>
        <v>1597565.81</v>
      </c>
      <c r="G39" s="11">
        <f t="shared" si="9"/>
        <v>1629291.293</v>
      </c>
      <c r="H39" s="11">
        <f t="shared" si="9"/>
        <v>1661829.468</v>
      </c>
      <c r="I39" s="11">
        <f t="shared" si="9"/>
        <v>1695164.078</v>
      </c>
      <c r="J39" s="11">
        <f t="shared" si="9"/>
        <v>1729279.197</v>
      </c>
      <c r="K39" s="11">
        <f t="shared" si="9"/>
        <v>1764159.213</v>
      </c>
      <c r="L39" s="11">
        <f t="shared" si="9"/>
        <v>1799788.829</v>
      </c>
      <c r="M39" s="11">
        <f t="shared" si="9"/>
        <v>1836153.052</v>
      </c>
      <c r="N39" s="11">
        <f t="shared" si="9"/>
        <v>1873237.191</v>
      </c>
      <c r="O39" s="11">
        <f t="shared" si="9"/>
        <v>1911026.847</v>
      </c>
      <c r="P39" s="11">
        <f t="shared" si="9"/>
        <v>1949507.91</v>
      </c>
      <c r="Q39" s="11">
        <f t="shared" si="9"/>
        <v>1988666.552</v>
      </c>
      <c r="R39" s="11">
        <f t="shared" si="9"/>
        <v>2028489.221</v>
      </c>
      <c r="S39" s="11">
        <f t="shared" si="9"/>
        <v>2068962.636</v>
      </c>
      <c r="T39" s="11">
        <f t="shared" si="9"/>
        <v>2110073.784</v>
      </c>
      <c r="U39" s="11">
        <f t="shared" si="9"/>
        <v>2151809.908</v>
      </c>
      <c r="V39" s="11">
        <f t="shared" si="9"/>
        <v>2194158.51</v>
      </c>
      <c r="W39" s="11">
        <f t="shared" si="9"/>
        <v>2238554.54</v>
      </c>
      <c r="X39" s="11">
        <f t="shared" si="9"/>
        <v>2283509.849</v>
      </c>
      <c r="Y39" s="11">
        <f t="shared" si="9"/>
        <v>2329013.252</v>
      </c>
      <c r="Z39" s="11">
        <f t="shared" si="9"/>
        <v>2375053.787</v>
      </c>
      <c r="AA39" s="11">
        <f t="shared" si="9"/>
        <v>2423067.911</v>
      </c>
      <c r="AB39" s="11">
        <f t="shared" si="9"/>
        <v>2471568.953</v>
      </c>
      <c r="AC39" s="11">
        <f t="shared" si="9"/>
        <v>2520547.174</v>
      </c>
      <c r="AD39" s="11">
        <f t="shared" si="9"/>
        <v>2571440.23</v>
      </c>
      <c r="AE39" s="11">
        <f t="shared" si="9"/>
        <v>2622762.626</v>
      </c>
      <c r="AF39" s="11">
        <f t="shared" si="9"/>
        <v>2674505.773</v>
      </c>
      <c r="AG39" s="11">
        <f t="shared" si="9"/>
        <v>2728108.458</v>
      </c>
      <c r="AH39" s="11">
        <f t="shared" si="9"/>
        <v>2782086.289</v>
      </c>
      <c r="AI39" s="11">
        <f t="shared" si="9"/>
        <v>2837878.963</v>
      </c>
      <c r="AJ39" s="11">
        <f t="shared" si="9"/>
        <v>2894002.984</v>
      </c>
      <c r="AK39" s="11">
        <f t="shared" si="9"/>
        <v>2951898.924</v>
      </c>
    </row>
  </sheetData>
  <dataValidations>
    <dataValidation type="list" allowBlank="1" showErrorMessage="1" sqref="B1">
      <formula1>"Base,Upside,Downside"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2" t="s">
        <v>19</v>
      </c>
    </row>
    <row r="2">
      <c r="A2" s="1" t="s">
        <v>35</v>
      </c>
      <c r="B2" s="4">
        <v>0.25</v>
      </c>
    </row>
    <row r="3">
      <c r="A3" s="1" t="s">
        <v>36</v>
      </c>
      <c r="B3" s="4">
        <f>Revenue_Drivers!B15</f>
        <v>0.35</v>
      </c>
    </row>
    <row r="4">
      <c r="A4" s="1" t="s">
        <v>37</v>
      </c>
      <c r="B4" s="4">
        <f>Revenue_Drivers!B16</f>
        <v>0.2</v>
      </c>
    </row>
    <row r="5">
      <c r="A5" s="1" t="s">
        <v>38</v>
      </c>
      <c r="B5" s="4">
        <f>Revenue_Drivers!B17</f>
        <v>0.15</v>
      </c>
    </row>
    <row r="6">
      <c r="B6" s="7">
        <v>46023.0</v>
      </c>
      <c r="C6" s="8">
        <f t="shared" ref="C6:AK6" si="1">EDATE(B6,1)</f>
        <v>46054</v>
      </c>
      <c r="D6" s="8">
        <f t="shared" si="1"/>
        <v>46082</v>
      </c>
      <c r="E6" s="8">
        <f t="shared" si="1"/>
        <v>46113</v>
      </c>
      <c r="F6" s="8">
        <f t="shared" si="1"/>
        <v>46143</v>
      </c>
      <c r="G6" s="8">
        <f t="shared" si="1"/>
        <v>46174</v>
      </c>
      <c r="H6" s="8">
        <f t="shared" si="1"/>
        <v>46204</v>
      </c>
      <c r="I6" s="8">
        <f t="shared" si="1"/>
        <v>46235</v>
      </c>
      <c r="J6" s="8">
        <f t="shared" si="1"/>
        <v>46266</v>
      </c>
      <c r="K6" s="8">
        <f t="shared" si="1"/>
        <v>46296</v>
      </c>
      <c r="L6" s="8">
        <f t="shared" si="1"/>
        <v>46327</v>
      </c>
      <c r="M6" s="8">
        <f t="shared" si="1"/>
        <v>46357</v>
      </c>
      <c r="N6" s="8">
        <f t="shared" si="1"/>
        <v>46388</v>
      </c>
      <c r="O6" s="8">
        <f t="shared" si="1"/>
        <v>46419</v>
      </c>
      <c r="P6" s="8">
        <f t="shared" si="1"/>
        <v>46447</v>
      </c>
      <c r="Q6" s="8">
        <f t="shared" si="1"/>
        <v>46478</v>
      </c>
      <c r="R6" s="8">
        <f t="shared" si="1"/>
        <v>46508</v>
      </c>
      <c r="S6" s="8">
        <f t="shared" si="1"/>
        <v>46539</v>
      </c>
      <c r="T6" s="8">
        <f t="shared" si="1"/>
        <v>46569</v>
      </c>
      <c r="U6" s="8">
        <f t="shared" si="1"/>
        <v>46600</v>
      </c>
      <c r="V6" s="8">
        <f t="shared" si="1"/>
        <v>46631</v>
      </c>
      <c r="W6" s="8">
        <f t="shared" si="1"/>
        <v>46661</v>
      </c>
      <c r="X6" s="8">
        <f t="shared" si="1"/>
        <v>46692</v>
      </c>
      <c r="Y6" s="8">
        <f t="shared" si="1"/>
        <v>46722</v>
      </c>
      <c r="Z6" s="8">
        <f t="shared" si="1"/>
        <v>46753</v>
      </c>
      <c r="AA6" s="8">
        <f t="shared" si="1"/>
        <v>46784</v>
      </c>
      <c r="AB6" s="8">
        <f t="shared" si="1"/>
        <v>46813</v>
      </c>
      <c r="AC6" s="8">
        <f t="shared" si="1"/>
        <v>46844</v>
      </c>
      <c r="AD6" s="8">
        <f t="shared" si="1"/>
        <v>46874</v>
      </c>
      <c r="AE6" s="8">
        <f t="shared" si="1"/>
        <v>46905</v>
      </c>
      <c r="AF6" s="8">
        <f t="shared" si="1"/>
        <v>46935</v>
      </c>
      <c r="AG6" s="8">
        <f t="shared" si="1"/>
        <v>46966</v>
      </c>
      <c r="AH6" s="8">
        <f t="shared" si="1"/>
        <v>46997</v>
      </c>
      <c r="AI6" s="8">
        <f t="shared" si="1"/>
        <v>47027</v>
      </c>
      <c r="AJ6" s="8">
        <f t="shared" si="1"/>
        <v>47058</v>
      </c>
      <c r="AK6" s="8">
        <f t="shared" si="1"/>
        <v>47088</v>
      </c>
    </row>
    <row r="9">
      <c r="A9" s="1" t="s">
        <v>39</v>
      </c>
      <c r="B9" s="11">
        <f>Revenue_Drivers!B38</f>
        <v>123012</v>
      </c>
      <c r="C9" s="11">
        <f>Revenue_Drivers!C38</f>
        <v>125496.36</v>
      </c>
      <c r="D9" s="11">
        <f>Revenue_Drivers!D38</f>
        <v>128051.6328</v>
      </c>
      <c r="E9" s="11">
        <f>Revenue_Drivers!E38</f>
        <v>130555.8001</v>
      </c>
      <c r="F9" s="11">
        <f>Revenue_Drivers!F38</f>
        <v>133130.4841</v>
      </c>
      <c r="G9" s="11">
        <f>Revenue_Drivers!G38</f>
        <v>135774.2745</v>
      </c>
      <c r="H9" s="11">
        <f>Revenue_Drivers!H38</f>
        <v>138485.789</v>
      </c>
      <c r="I9" s="11">
        <f>Revenue_Drivers!I38</f>
        <v>141263.6732</v>
      </c>
      <c r="J9" s="11">
        <f>Revenue_Drivers!J38</f>
        <v>144106.5997</v>
      </c>
      <c r="K9" s="11">
        <f>Revenue_Drivers!K38</f>
        <v>147013.2677</v>
      </c>
      <c r="L9" s="11">
        <f>Revenue_Drivers!L38</f>
        <v>149982.4024</v>
      </c>
      <c r="M9" s="11">
        <f>Revenue_Drivers!M38</f>
        <v>153012.7543</v>
      </c>
      <c r="N9" s="11">
        <f>Revenue_Drivers!N38</f>
        <v>156103.0992</v>
      </c>
      <c r="O9" s="11">
        <f>Revenue_Drivers!O38</f>
        <v>159252.2373</v>
      </c>
      <c r="P9" s="11">
        <f>Revenue_Drivers!P38</f>
        <v>162458.9925</v>
      </c>
      <c r="Q9" s="11">
        <f>Revenue_Drivers!Q38</f>
        <v>165722.2127</v>
      </c>
      <c r="R9" s="11">
        <f>Revenue_Drivers!R38</f>
        <v>169040.7684</v>
      </c>
      <c r="S9" s="11">
        <f>Revenue_Drivers!S38</f>
        <v>172413.553</v>
      </c>
      <c r="T9" s="11">
        <f>Revenue_Drivers!T38</f>
        <v>175839.482</v>
      </c>
      <c r="U9" s="11">
        <f>Revenue_Drivers!U38</f>
        <v>179317.4923</v>
      </c>
      <c r="V9" s="11">
        <f>Revenue_Drivers!V38</f>
        <v>182846.5425</v>
      </c>
      <c r="W9" s="11">
        <f>Revenue_Drivers!W38</f>
        <v>186546.2116</v>
      </c>
      <c r="X9" s="11">
        <f>Revenue_Drivers!X38</f>
        <v>190292.4874</v>
      </c>
      <c r="Y9" s="11">
        <f>Revenue_Drivers!Y38</f>
        <v>194084.4377</v>
      </c>
      <c r="Z9" s="11">
        <f>Revenue_Drivers!Z38</f>
        <v>197921.1489</v>
      </c>
      <c r="AA9" s="11">
        <f>Revenue_Drivers!AA38</f>
        <v>201922.3259</v>
      </c>
      <c r="AB9" s="11">
        <f>Revenue_Drivers!AB38</f>
        <v>205964.0794</v>
      </c>
      <c r="AC9" s="11">
        <f>Revenue_Drivers!AC38</f>
        <v>210045.5978</v>
      </c>
      <c r="AD9" s="11">
        <f>Revenue_Drivers!AD38</f>
        <v>214286.6859</v>
      </c>
      <c r="AE9" s="11">
        <f>Revenue_Drivers!AE38</f>
        <v>218563.5522</v>
      </c>
      <c r="AF9" s="11">
        <f>Revenue_Drivers!AF38</f>
        <v>222875.4811</v>
      </c>
      <c r="AG9" s="11">
        <f>Revenue_Drivers!AG38</f>
        <v>227342.3715</v>
      </c>
      <c r="AH9" s="11">
        <f>Revenue_Drivers!AH38</f>
        <v>231840.5241</v>
      </c>
      <c r="AI9" s="11">
        <f>Revenue_Drivers!AI38</f>
        <v>236489.9136</v>
      </c>
      <c r="AJ9" s="11">
        <f>Revenue_Drivers!AJ38</f>
        <v>241166.9153</v>
      </c>
      <c r="AK9" s="11">
        <f>Revenue_Drivers!AK38</f>
        <v>245991.577</v>
      </c>
    </row>
    <row r="10">
      <c r="A10" s="1" t="s">
        <v>40</v>
      </c>
      <c r="B10" s="11">
        <f t="shared" ref="B10:AK10" si="2">-B9*$B$2</f>
        <v>-30753</v>
      </c>
      <c r="C10" s="11">
        <f t="shared" si="2"/>
        <v>-31374.09</v>
      </c>
      <c r="D10" s="11">
        <f t="shared" si="2"/>
        <v>-32012.9082</v>
      </c>
      <c r="E10" s="11">
        <f t="shared" si="2"/>
        <v>-32638.95004</v>
      </c>
      <c r="F10" s="11">
        <f t="shared" si="2"/>
        <v>-33282.62104</v>
      </c>
      <c r="G10" s="11">
        <f t="shared" si="2"/>
        <v>-33943.56861</v>
      </c>
      <c r="H10" s="11">
        <f t="shared" si="2"/>
        <v>-34621.44724</v>
      </c>
      <c r="I10" s="11">
        <f t="shared" si="2"/>
        <v>-35315.9183</v>
      </c>
      <c r="J10" s="11">
        <f t="shared" si="2"/>
        <v>-36026.64993</v>
      </c>
      <c r="K10" s="11">
        <f t="shared" si="2"/>
        <v>-36753.31693</v>
      </c>
      <c r="L10" s="11">
        <f t="shared" si="2"/>
        <v>-37495.60059</v>
      </c>
      <c r="M10" s="11">
        <f t="shared" si="2"/>
        <v>-38253.18858</v>
      </c>
      <c r="N10" s="11">
        <f t="shared" si="2"/>
        <v>-39025.77481</v>
      </c>
      <c r="O10" s="11">
        <f t="shared" si="2"/>
        <v>-39813.05931</v>
      </c>
      <c r="P10" s="11">
        <f t="shared" si="2"/>
        <v>-40614.74813</v>
      </c>
      <c r="Q10" s="11">
        <f t="shared" si="2"/>
        <v>-41430.55317</v>
      </c>
      <c r="R10" s="11">
        <f t="shared" si="2"/>
        <v>-42260.1921</v>
      </c>
      <c r="S10" s="11">
        <f t="shared" si="2"/>
        <v>-43103.38826</v>
      </c>
      <c r="T10" s="11">
        <f t="shared" si="2"/>
        <v>-43959.8705</v>
      </c>
      <c r="U10" s="11">
        <f t="shared" si="2"/>
        <v>-44829.37309</v>
      </c>
      <c r="V10" s="11">
        <f t="shared" si="2"/>
        <v>-45711.63562</v>
      </c>
      <c r="W10" s="11">
        <f t="shared" si="2"/>
        <v>-46636.55291</v>
      </c>
      <c r="X10" s="11">
        <f t="shared" si="2"/>
        <v>-47573.12185</v>
      </c>
      <c r="Y10" s="11">
        <f t="shared" si="2"/>
        <v>-48521.10942</v>
      </c>
      <c r="Z10" s="11">
        <f t="shared" si="2"/>
        <v>-49480.28723</v>
      </c>
      <c r="AA10" s="11">
        <f t="shared" si="2"/>
        <v>-50480.58148</v>
      </c>
      <c r="AB10" s="11">
        <f t="shared" si="2"/>
        <v>-51491.01985</v>
      </c>
      <c r="AC10" s="11">
        <f t="shared" si="2"/>
        <v>-52511.39946</v>
      </c>
      <c r="AD10" s="11">
        <f t="shared" si="2"/>
        <v>-53571.67147</v>
      </c>
      <c r="AE10" s="11">
        <f t="shared" si="2"/>
        <v>-54640.88804</v>
      </c>
      <c r="AF10" s="11">
        <f t="shared" si="2"/>
        <v>-55718.87028</v>
      </c>
      <c r="AG10" s="11">
        <f t="shared" si="2"/>
        <v>-56835.59287</v>
      </c>
      <c r="AH10" s="11">
        <f t="shared" si="2"/>
        <v>-57960.13101</v>
      </c>
      <c r="AI10" s="11">
        <f t="shared" si="2"/>
        <v>-59122.47839</v>
      </c>
      <c r="AJ10" s="11">
        <f t="shared" si="2"/>
        <v>-60291.72883</v>
      </c>
      <c r="AK10" s="11">
        <f t="shared" si="2"/>
        <v>-61497.89425</v>
      </c>
    </row>
    <row r="11">
      <c r="A11" s="1" t="s">
        <v>41</v>
      </c>
      <c r="B11" s="11">
        <f t="shared" ref="B11:AK11" si="3">B9+B10</f>
        <v>92259</v>
      </c>
      <c r="C11" s="11">
        <f t="shared" si="3"/>
        <v>94122.27</v>
      </c>
      <c r="D11" s="11">
        <f t="shared" si="3"/>
        <v>96038.7246</v>
      </c>
      <c r="E11" s="11">
        <f t="shared" si="3"/>
        <v>97916.85011</v>
      </c>
      <c r="F11" s="11">
        <f t="shared" si="3"/>
        <v>99847.86311</v>
      </c>
      <c r="G11" s="11">
        <f t="shared" si="3"/>
        <v>101830.7058</v>
      </c>
      <c r="H11" s="11">
        <f t="shared" si="3"/>
        <v>103864.3417</v>
      </c>
      <c r="I11" s="11">
        <f t="shared" si="3"/>
        <v>105947.7549</v>
      </c>
      <c r="J11" s="11">
        <f t="shared" si="3"/>
        <v>108079.9498</v>
      </c>
      <c r="K11" s="11">
        <f t="shared" si="3"/>
        <v>110259.9508</v>
      </c>
      <c r="L11" s="11">
        <f t="shared" si="3"/>
        <v>112486.8018</v>
      </c>
      <c r="M11" s="11">
        <f t="shared" si="3"/>
        <v>114759.5657</v>
      </c>
      <c r="N11" s="11">
        <f t="shared" si="3"/>
        <v>117077.3244</v>
      </c>
      <c r="O11" s="11">
        <f t="shared" si="3"/>
        <v>119439.1779</v>
      </c>
      <c r="P11" s="11">
        <f t="shared" si="3"/>
        <v>121844.2444</v>
      </c>
      <c r="Q11" s="11">
        <f t="shared" si="3"/>
        <v>124291.6595</v>
      </c>
      <c r="R11" s="11">
        <f t="shared" si="3"/>
        <v>126780.5763</v>
      </c>
      <c r="S11" s="11">
        <f t="shared" si="3"/>
        <v>129310.1648</v>
      </c>
      <c r="T11" s="11">
        <f t="shared" si="3"/>
        <v>131879.6115</v>
      </c>
      <c r="U11" s="11">
        <f t="shared" si="3"/>
        <v>134488.1193</v>
      </c>
      <c r="V11" s="11">
        <f t="shared" si="3"/>
        <v>137134.9069</v>
      </c>
      <c r="W11" s="11">
        <f t="shared" si="3"/>
        <v>139909.6587</v>
      </c>
      <c r="X11" s="11">
        <f t="shared" si="3"/>
        <v>142719.3656</v>
      </c>
      <c r="Y11" s="11">
        <f t="shared" si="3"/>
        <v>145563.3282</v>
      </c>
      <c r="Z11" s="11">
        <f t="shared" si="3"/>
        <v>148440.8617</v>
      </c>
      <c r="AA11" s="11">
        <f t="shared" si="3"/>
        <v>151441.7444</v>
      </c>
      <c r="AB11" s="11">
        <f t="shared" si="3"/>
        <v>154473.0596</v>
      </c>
      <c r="AC11" s="11">
        <f t="shared" si="3"/>
        <v>157534.1984</v>
      </c>
      <c r="AD11" s="11">
        <f t="shared" si="3"/>
        <v>160715.0144</v>
      </c>
      <c r="AE11" s="11">
        <f t="shared" si="3"/>
        <v>163922.6641</v>
      </c>
      <c r="AF11" s="11">
        <f t="shared" si="3"/>
        <v>167156.6108</v>
      </c>
      <c r="AG11" s="11">
        <f t="shared" si="3"/>
        <v>170506.7786</v>
      </c>
      <c r="AH11" s="11">
        <f t="shared" si="3"/>
        <v>173880.393</v>
      </c>
      <c r="AI11" s="11">
        <f t="shared" si="3"/>
        <v>177367.4352</v>
      </c>
      <c r="AJ11" s="11">
        <f t="shared" si="3"/>
        <v>180875.1865</v>
      </c>
      <c r="AK11" s="11">
        <f t="shared" si="3"/>
        <v>184493.6827</v>
      </c>
    </row>
    <row r="12">
      <c r="A12" s="1" t="s">
        <v>42</v>
      </c>
      <c r="B12" s="5">
        <f t="shared" ref="B12:AK12" si="4">B11/B9</f>
        <v>0.75</v>
      </c>
      <c r="C12" s="5">
        <f t="shared" si="4"/>
        <v>0.75</v>
      </c>
      <c r="D12" s="5">
        <f t="shared" si="4"/>
        <v>0.75</v>
      </c>
      <c r="E12" s="5">
        <f t="shared" si="4"/>
        <v>0.75</v>
      </c>
      <c r="F12" s="5">
        <f t="shared" si="4"/>
        <v>0.75</v>
      </c>
      <c r="G12" s="5">
        <f t="shared" si="4"/>
        <v>0.75</v>
      </c>
      <c r="H12" s="5">
        <f t="shared" si="4"/>
        <v>0.75</v>
      </c>
      <c r="I12" s="5">
        <f t="shared" si="4"/>
        <v>0.75</v>
      </c>
      <c r="J12" s="5">
        <f t="shared" si="4"/>
        <v>0.75</v>
      </c>
      <c r="K12" s="5">
        <f t="shared" si="4"/>
        <v>0.75</v>
      </c>
      <c r="L12" s="5">
        <f t="shared" si="4"/>
        <v>0.75</v>
      </c>
      <c r="M12" s="5">
        <f t="shared" si="4"/>
        <v>0.75</v>
      </c>
      <c r="N12" s="5">
        <f t="shared" si="4"/>
        <v>0.75</v>
      </c>
      <c r="O12" s="5">
        <f t="shared" si="4"/>
        <v>0.75</v>
      </c>
      <c r="P12" s="5">
        <f t="shared" si="4"/>
        <v>0.75</v>
      </c>
      <c r="Q12" s="5">
        <f t="shared" si="4"/>
        <v>0.75</v>
      </c>
      <c r="R12" s="5">
        <f t="shared" si="4"/>
        <v>0.75</v>
      </c>
      <c r="S12" s="5">
        <f t="shared" si="4"/>
        <v>0.75</v>
      </c>
      <c r="T12" s="5">
        <f t="shared" si="4"/>
        <v>0.75</v>
      </c>
      <c r="U12" s="5">
        <f t="shared" si="4"/>
        <v>0.75</v>
      </c>
      <c r="V12" s="5">
        <f t="shared" si="4"/>
        <v>0.75</v>
      </c>
      <c r="W12" s="5">
        <f t="shared" si="4"/>
        <v>0.75</v>
      </c>
      <c r="X12" s="5">
        <f t="shared" si="4"/>
        <v>0.75</v>
      </c>
      <c r="Y12" s="5">
        <f t="shared" si="4"/>
        <v>0.75</v>
      </c>
      <c r="Z12" s="5">
        <f t="shared" si="4"/>
        <v>0.75</v>
      </c>
      <c r="AA12" s="5">
        <f t="shared" si="4"/>
        <v>0.75</v>
      </c>
      <c r="AB12" s="5">
        <f t="shared" si="4"/>
        <v>0.75</v>
      </c>
      <c r="AC12" s="5">
        <f t="shared" si="4"/>
        <v>0.75</v>
      </c>
      <c r="AD12" s="5">
        <f t="shared" si="4"/>
        <v>0.75</v>
      </c>
      <c r="AE12" s="5">
        <f t="shared" si="4"/>
        <v>0.75</v>
      </c>
      <c r="AF12" s="5">
        <f t="shared" si="4"/>
        <v>0.75</v>
      </c>
      <c r="AG12" s="5">
        <f t="shared" si="4"/>
        <v>0.75</v>
      </c>
      <c r="AH12" s="5">
        <f t="shared" si="4"/>
        <v>0.75</v>
      </c>
      <c r="AI12" s="5">
        <f t="shared" si="4"/>
        <v>0.75</v>
      </c>
      <c r="AJ12" s="5">
        <f t="shared" si="4"/>
        <v>0.75</v>
      </c>
      <c r="AK12" s="5">
        <f t="shared" si="4"/>
        <v>0.75</v>
      </c>
    </row>
    <row r="14">
      <c r="A14" s="2" t="s">
        <v>43</v>
      </c>
    </row>
    <row r="15">
      <c r="A15" s="1" t="s">
        <v>44</v>
      </c>
      <c r="B15" s="11">
        <f> -B9 * Revenue_Drivers!$B$15</f>
        <v>-43054.2</v>
      </c>
      <c r="C15" s="11">
        <f> -C9 * Revenue_Drivers!$B$15</f>
        <v>-43923.726</v>
      </c>
      <c r="D15" s="11">
        <f> -D9 * Revenue_Drivers!$B$15</f>
        <v>-44818.07148</v>
      </c>
      <c r="E15" s="11">
        <f> -E9 * Revenue_Drivers!$B$15</f>
        <v>-45694.53005</v>
      </c>
      <c r="F15" s="11">
        <f> -F9 * Revenue_Drivers!$B$15</f>
        <v>-46595.66945</v>
      </c>
      <c r="G15" s="11">
        <f> -G9 * Revenue_Drivers!$B$15</f>
        <v>-47520.99606</v>
      </c>
      <c r="H15" s="11">
        <f> -H9 * Revenue_Drivers!$B$15</f>
        <v>-48470.02614</v>
      </c>
      <c r="I15" s="11">
        <f> -I9 * Revenue_Drivers!$B$15</f>
        <v>-49442.28562</v>
      </c>
      <c r="J15" s="11">
        <f> -J9 * Revenue_Drivers!$B$15</f>
        <v>-50437.3099</v>
      </c>
      <c r="K15" s="11">
        <f> -K9 * Revenue_Drivers!$B$15</f>
        <v>-51454.64371</v>
      </c>
      <c r="L15" s="11">
        <f> -L9 * Revenue_Drivers!$B$15</f>
        <v>-52493.84083</v>
      </c>
      <c r="M15" s="11">
        <f> -M9 * Revenue_Drivers!$B$15</f>
        <v>-53554.46402</v>
      </c>
      <c r="N15" s="11">
        <f> -N9 * Revenue_Drivers!$B$15</f>
        <v>-54636.08473</v>
      </c>
      <c r="O15" s="11">
        <f> -O9 * Revenue_Drivers!$B$15</f>
        <v>-55738.28304</v>
      </c>
      <c r="P15" s="11">
        <f> -P9 * Revenue_Drivers!$B$15</f>
        <v>-56860.64738</v>
      </c>
      <c r="Q15" s="11">
        <f> -Q9 * Revenue_Drivers!$B$15</f>
        <v>-58002.77443</v>
      </c>
      <c r="R15" s="11">
        <f> -R9 * Revenue_Drivers!$B$15</f>
        <v>-59164.26894</v>
      </c>
      <c r="S15" s="11">
        <f> -S9 * Revenue_Drivers!$B$15</f>
        <v>-60344.74356</v>
      </c>
      <c r="T15" s="11">
        <f> -T9 * Revenue_Drivers!$B$15</f>
        <v>-61543.81869</v>
      </c>
      <c r="U15" s="11">
        <f> -U9 * Revenue_Drivers!$B$15</f>
        <v>-62761.12232</v>
      </c>
      <c r="V15" s="11">
        <f> -V9 * Revenue_Drivers!$B$15</f>
        <v>-63996.28987</v>
      </c>
      <c r="W15" s="11">
        <f> -W9 * Revenue_Drivers!$B$15</f>
        <v>-65291.17408</v>
      </c>
      <c r="X15" s="11">
        <f> -X9 * Revenue_Drivers!$B$15</f>
        <v>-66602.37059</v>
      </c>
      <c r="Y15" s="11">
        <f> -Y9 * Revenue_Drivers!$B$15</f>
        <v>-67929.55318</v>
      </c>
      <c r="Z15" s="11">
        <f> -Z9 * Revenue_Drivers!$B$15</f>
        <v>-69272.40212</v>
      </c>
      <c r="AA15" s="11">
        <f> -AA9 * Revenue_Drivers!$B$15</f>
        <v>-70672.81408</v>
      </c>
      <c r="AB15" s="11">
        <f> -AB9 * Revenue_Drivers!$B$15</f>
        <v>-72087.42779</v>
      </c>
      <c r="AC15" s="11">
        <f> -AC9 * Revenue_Drivers!$B$15</f>
        <v>-73515.95924</v>
      </c>
      <c r="AD15" s="11">
        <f> -AD9 * Revenue_Drivers!$B$15</f>
        <v>-75000.34005</v>
      </c>
      <c r="AE15" s="11">
        <f> -AE9 * Revenue_Drivers!$B$15</f>
        <v>-76497.24325</v>
      </c>
      <c r="AF15" s="11">
        <f> -AF9 * Revenue_Drivers!$B$15</f>
        <v>-78006.41839</v>
      </c>
      <c r="AG15" s="11">
        <f> -AG9 * Revenue_Drivers!$B$15</f>
        <v>-79569.83002</v>
      </c>
      <c r="AH15" s="11">
        <f> -AH9 * Revenue_Drivers!$B$15</f>
        <v>-81144.18342</v>
      </c>
      <c r="AI15" s="11">
        <f> -AI9 * Revenue_Drivers!$B$15</f>
        <v>-82771.46975</v>
      </c>
      <c r="AJ15" s="11">
        <f> -AJ9 * Revenue_Drivers!$B$15</f>
        <v>-84408.42036</v>
      </c>
      <c r="AK15" s="11">
        <f> -AK9 * Revenue_Drivers!$B$15</f>
        <v>-86097.05195</v>
      </c>
    </row>
    <row r="16">
      <c r="A16" s="1" t="s">
        <v>45</v>
      </c>
      <c r="B16" s="11">
        <f> -B9 * Revenue_Drivers!$B$16</f>
        <v>-24602.4</v>
      </c>
      <c r="C16" s="11">
        <f> -C9 * Revenue_Drivers!$B$16</f>
        <v>-25099.272</v>
      </c>
      <c r="D16" s="11">
        <f> -D9 * Revenue_Drivers!$B$16</f>
        <v>-25610.32656</v>
      </c>
      <c r="E16" s="11">
        <f> -E9 * Revenue_Drivers!$B$16</f>
        <v>-26111.16003</v>
      </c>
      <c r="F16" s="11">
        <f> -F9 * Revenue_Drivers!$B$16</f>
        <v>-26626.09683</v>
      </c>
      <c r="G16" s="11">
        <f> -G9 * Revenue_Drivers!$B$16</f>
        <v>-27154.85489</v>
      </c>
      <c r="H16" s="11">
        <f> -H9 * Revenue_Drivers!$B$16</f>
        <v>-27697.15779</v>
      </c>
      <c r="I16" s="11">
        <f> -I9 * Revenue_Drivers!$B$16</f>
        <v>-28252.73464</v>
      </c>
      <c r="J16" s="11">
        <f> -J9 * Revenue_Drivers!$B$16</f>
        <v>-28821.31995</v>
      </c>
      <c r="K16" s="11">
        <f> -K9 * Revenue_Drivers!$B$16</f>
        <v>-29402.65355</v>
      </c>
      <c r="L16" s="11">
        <f> -L9 * Revenue_Drivers!$B$16</f>
        <v>-29996.48048</v>
      </c>
      <c r="M16" s="11">
        <f> -M9 * Revenue_Drivers!$B$16</f>
        <v>-30602.55087</v>
      </c>
      <c r="N16" s="11">
        <f> -N9 * Revenue_Drivers!$B$16</f>
        <v>-31220.61985</v>
      </c>
      <c r="O16" s="11">
        <f> -O9 * Revenue_Drivers!$B$16</f>
        <v>-31850.44745</v>
      </c>
      <c r="P16" s="11">
        <f> -P9 * Revenue_Drivers!$B$16</f>
        <v>-32491.7985</v>
      </c>
      <c r="Q16" s="11">
        <f> -Q9 * Revenue_Drivers!$B$16</f>
        <v>-33144.44253</v>
      </c>
      <c r="R16" s="11">
        <f> -R9 * Revenue_Drivers!$B$16</f>
        <v>-33808.15368</v>
      </c>
      <c r="S16" s="11">
        <f> -S9 * Revenue_Drivers!$B$16</f>
        <v>-34482.71061</v>
      </c>
      <c r="T16" s="11">
        <f> -T9 * Revenue_Drivers!$B$16</f>
        <v>-35167.8964</v>
      </c>
      <c r="U16" s="11">
        <f> -U9 * Revenue_Drivers!$B$16</f>
        <v>-35863.49847</v>
      </c>
      <c r="V16" s="11">
        <f> -V9 * Revenue_Drivers!$B$16</f>
        <v>-36569.3085</v>
      </c>
      <c r="W16" s="11">
        <f> -W9 * Revenue_Drivers!$B$16</f>
        <v>-37309.24233</v>
      </c>
      <c r="X16" s="11">
        <f> -X9 * Revenue_Drivers!$B$16</f>
        <v>-38058.49748</v>
      </c>
      <c r="Y16" s="11">
        <f> -Y9 * Revenue_Drivers!$B$16</f>
        <v>-38816.88753</v>
      </c>
      <c r="Z16" s="11">
        <f> -Z9 * Revenue_Drivers!$B$16</f>
        <v>-39584.22978</v>
      </c>
      <c r="AA16" s="11">
        <f> -AA9 * Revenue_Drivers!$B$16</f>
        <v>-40384.46519</v>
      </c>
      <c r="AB16" s="11">
        <f> -AB9 * Revenue_Drivers!$B$16</f>
        <v>-41192.81588</v>
      </c>
      <c r="AC16" s="11">
        <f> -AC9 * Revenue_Drivers!$B$16</f>
        <v>-42009.11956</v>
      </c>
      <c r="AD16" s="11">
        <f> -AD9 * Revenue_Drivers!$B$16</f>
        <v>-42857.33717</v>
      </c>
      <c r="AE16" s="11">
        <f> -AE9 * Revenue_Drivers!$B$16</f>
        <v>-43712.71043</v>
      </c>
      <c r="AF16" s="11">
        <f> -AF9 * Revenue_Drivers!$B$16</f>
        <v>-44575.09622</v>
      </c>
      <c r="AG16" s="11">
        <f> -AG9 * Revenue_Drivers!$B$16</f>
        <v>-45468.4743</v>
      </c>
      <c r="AH16" s="11">
        <f> -AH9 * Revenue_Drivers!$B$16</f>
        <v>-46368.10481</v>
      </c>
      <c r="AI16" s="11">
        <f> -AI9 * Revenue_Drivers!$B$16</f>
        <v>-47297.98271</v>
      </c>
      <c r="AJ16" s="11">
        <f> -AJ9 * Revenue_Drivers!$B$16</f>
        <v>-48233.38306</v>
      </c>
      <c r="AK16" s="11">
        <f> -AK9 * Revenue_Drivers!$B$16</f>
        <v>-49198.3154</v>
      </c>
    </row>
    <row r="17">
      <c r="A17" s="1" t="s">
        <v>46</v>
      </c>
      <c r="B17" s="11">
        <f> -B9 * Revenue_Drivers!$B$17</f>
        <v>-18451.8</v>
      </c>
      <c r="C17" s="11">
        <f> -C9 * Revenue_Drivers!$B$17</f>
        <v>-18824.454</v>
      </c>
      <c r="D17" s="11">
        <f> -D9 * Revenue_Drivers!$B$17</f>
        <v>-19207.74492</v>
      </c>
      <c r="E17" s="11">
        <f> -E9 * Revenue_Drivers!$B$17</f>
        <v>-19583.37002</v>
      </c>
      <c r="F17" s="11">
        <f> -F9 * Revenue_Drivers!$B$17</f>
        <v>-19969.57262</v>
      </c>
      <c r="G17" s="11">
        <f> -G9 * Revenue_Drivers!$B$17</f>
        <v>-20366.14117</v>
      </c>
      <c r="H17" s="11">
        <f> -H9 * Revenue_Drivers!$B$17</f>
        <v>-20772.86835</v>
      </c>
      <c r="I17" s="11">
        <f> -I9 * Revenue_Drivers!$B$17</f>
        <v>-21189.55098</v>
      </c>
      <c r="J17" s="11">
        <f> -J9 * Revenue_Drivers!$B$17</f>
        <v>-21615.98996</v>
      </c>
      <c r="K17" s="11">
        <f> -K9 * Revenue_Drivers!$B$17</f>
        <v>-22051.99016</v>
      </c>
      <c r="L17" s="11">
        <f> -L9 * Revenue_Drivers!$B$17</f>
        <v>-22497.36036</v>
      </c>
      <c r="M17" s="11">
        <f> -M9 * Revenue_Drivers!$B$17</f>
        <v>-22951.91315</v>
      </c>
      <c r="N17" s="11">
        <f> -N9 * Revenue_Drivers!$B$17</f>
        <v>-23415.46489</v>
      </c>
      <c r="O17" s="11">
        <f> -O9 * Revenue_Drivers!$B$17</f>
        <v>-23887.83559</v>
      </c>
      <c r="P17" s="11">
        <f> -P9 * Revenue_Drivers!$B$17</f>
        <v>-24368.84888</v>
      </c>
      <c r="Q17" s="11">
        <f> -Q9 * Revenue_Drivers!$B$17</f>
        <v>-24858.3319</v>
      </c>
      <c r="R17" s="11">
        <f> -R9 * Revenue_Drivers!$B$17</f>
        <v>-25356.11526</v>
      </c>
      <c r="S17" s="11">
        <f> -S9 * Revenue_Drivers!$B$17</f>
        <v>-25862.03296</v>
      </c>
      <c r="T17" s="11">
        <f> -T9 * Revenue_Drivers!$B$17</f>
        <v>-26375.9223</v>
      </c>
      <c r="U17" s="11">
        <f> -U9 * Revenue_Drivers!$B$17</f>
        <v>-26897.62385</v>
      </c>
      <c r="V17" s="11">
        <f> -V9 * Revenue_Drivers!$B$17</f>
        <v>-27426.98137</v>
      </c>
      <c r="W17" s="11">
        <f> -W9 * Revenue_Drivers!$B$17</f>
        <v>-27981.93175</v>
      </c>
      <c r="X17" s="11">
        <f> -X9 * Revenue_Drivers!$B$17</f>
        <v>-28543.87311</v>
      </c>
      <c r="Y17" s="11">
        <f> -Y9 * Revenue_Drivers!$B$17</f>
        <v>-29112.66565</v>
      </c>
      <c r="Z17" s="11">
        <f> -Z9 * Revenue_Drivers!$B$17</f>
        <v>-29688.17234</v>
      </c>
      <c r="AA17" s="11">
        <f> -AA9 * Revenue_Drivers!$B$17</f>
        <v>-30288.34889</v>
      </c>
      <c r="AB17" s="11">
        <f> -AB9 * Revenue_Drivers!$B$17</f>
        <v>-30894.61191</v>
      </c>
      <c r="AC17" s="11">
        <f> -AC9 * Revenue_Drivers!$B$17</f>
        <v>-31506.83967</v>
      </c>
      <c r="AD17" s="11">
        <f> -AD9 * Revenue_Drivers!$B$17</f>
        <v>-32143.00288</v>
      </c>
      <c r="AE17" s="11">
        <f> -AE9 * Revenue_Drivers!$B$17</f>
        <v>-32784.53282</v>
      </c>
      <c r="AF17" s="11">
        <f> -AF9 * Revenue_Drivers!$B$17</f>
        <v>-33431.32217</v>
      </c>
      <c r="AG17" s="11">
        <f> -AG9 * Revenue_Drivers!$B$17</f>
        <v>-34101.35572</v>
      </c>
      <c r="AH17" s="11">
        <f> -AH9 * Revenue_Drivers!$B$17</f>
        <v>-34776.07861</v>
      </c>
      <c r="AI17" s="11">
        <f> -AI9 * Revenue_Drivers!$B$17</f>
        <v>-35473.48704</v>
      </c>
      <c r="AJ17" s="11">
        <f> -AJ9 * Revenue_Drivers!$B$17</f>
        <v>-36175.0373</v>
      </c>
      <c r="AK17" s="11">
        <f> -AK9 * Revenue_Drivers!$B$17</f>
        <v>-36898.73655</v>
      </c>
    </row>
    <row r="18">
      <c r="A18" s="1" t="s">
        <v>47</v>
      </c>
      <c r="B18" s="11">
        <f t="shared" ref="B18:AK18" si="5">SUM(B15:B17)</f>
        <v>-86108.4</v>
      </c>
      <c r="C18" s="11">
        <f t="shared" si="5"/>
        <v>-87847.452</v>
      </c>
      <c r="D18" s="11">
        <f t="shared" si="5"/>
        <v>-89636.14296</v>
      </c>
      <c r="E18" s="11">
        <f t="shared" si="5"/>
        <v>-91389.0601</v>
      </c>
      <c r="F18" s="11">
        <f t="shared" si="5"/>
        <v>-93191.3389</v>
      </c>
      <c r="G18" s="11">
        <f t="shared" si="5"/>
        <v>-95041.99212</v>
      </c>
      <c r="H18" s="11">
        <f t="shared" si="5"/>
        <v>-96940.05228</v>
      </c>
      <c r="I18" s="11">
        <f t="shared" si="5"/>
        <v>-98884.57123</v>
      </c>
      <c r="J18" s="11">
        <f t="shared" si="5"/>
        <v>-100874.6198</v>
      </c>
      <c r="K18" s="11">
        <f t="shared" si="5"/>
        <v>-102909.2874</v>
      </c>
      <c r="L18" s="11">
        <f t="shared" si="5"/>
        <v>-104987.6817</v>
      </c>
      <c r="M18" s="11">
        <f t="shared" si="5"/>
        <v>-107108.928</v>
      </c>
      <c r="N18" s="11">
        <f t="shared" si="5"/>
        <v>-109272.1695</v>
      </c>
      <c r="O18" s="11">
        <f t="shared" si="5"/>
        <v>-111476.5661</v>
      </c>
      <c r="P18" s="11">
        <f t="shared" si="5"/>
        <v>-113721.2948</v>
      </c>
      <c r="Q18" s="11">
        <f t="shared" si="5"/>
        <v>-116005.5489</v>
      </c>
      <c r="R18" s="11">
        <f t="shared" si="5"/>
        <v>-118328.5379</v>
      </c>
      <c r="S18" s="11">
        <f t="shared" si="5"/>
        <v>-120689.4871</v>
      </c>
      <c r="T18" s="11">
        <f t="shared" si="5"/>
        <v>-123087.6374</v>
      </c>
      <c r="U18" s="11">
        <f t="shared" si="5"/>
        <v>-125522.2446</v>
      </c>
      <c r="V18" s="11">
        <f t="shared" si="5"/>
        <v>-127992.5797</v>
      </c>
      <c r="W18" s="11">
        <f t="shared" si="5"/>
        <v>-130582.3482</v>
      </c>
      <c r="X18" s="11">
        <f t="shared" si="5"/>
        <v>-133204.7412</v>
      </c>
      <c r="Y18" s="11">
        <f t="shared" si="5"/>
        <v>-135859.1064</v>
      </c>
      <c r="Z18" s="11">
        <f t="shared" si="5"/>
        <v>-138544.8042</v>
      </c>
      <c r="AA18" s="11">
        <f t="shared" si="5"/>
        <v>-141345.6282</v>
      </c>
      <c r="AB18" s="11">
        <f t="shared" si="5"/>
        <v>-144174.8556</v>
      </c>
      <c r="AC18" s="11">
        <f t="shared" si="5"/>
        <v>-147031.9185</v>
      </c>
      <c r="AD18" s="11">
        <f t="shared" si="5"/>
        <v>-150000.6801</v>
      </c>
      <c r="AE18" s="11">
        <f t="shared" si="5"/>
        <v>-152994.4865</v>
      </c>
      <c r="AF18" s="11">
        <f t="shared" si="5"/>
        <v>-156012.8368</v>
      </c>
      <c r="AG18" s="11">
        <f t="shared" si="5"/>
        <v>-159139.66</v>
      </c>
      <c r="AH18" s="11">
        <f t="shared" si="5"/>
        <v>-162288.3668</v>
      </c>
      <c r="AI18" s="11">
        <f t="shared" si="5"/>
        <v>-165542.9395</v>
      </c>
      <c r="AJ18" s="11">
        <f t="shared" si="5"/>
        <v>-168816.8407</v>
      </c>
      <c r="AK18" s="11">
        <f t="shared" si="5"/>
        <v>-172194.1039</v>
      </c>
    </row>
    <row r="20">
      <c r="A20" s="1" t="s">
        <v>48</v>
      </c>
      <c r="B20" s="11">
        <f t="shared" ref="B20:AK20" si="6">B11+B18</f>
        <v>6150.6</v>
      </c>
      <c r="C20" s="11">
        <f t="shared" si="6"/>
        <v>6274.818</v>
      </c>
      <c r="D20" s="11">
        <f t="shared" si="6"/>
        <v>6402.58164</v>
      </c>
      <c r="E20" s="11">
        <f t="shared" si="6"/>
        <v>6527.790007</v>
      </c>
      <c r="F20" s="11">
        <f t="shared" si="6"/>
        <v>6656.524207</v>
      </c>
      <c r="G20" s="11">
        <f t="shared" si="6"/>
        <v>6788.713723</v>
      </c>
      <c r="H20" s="11">
        <f t="shared" si="6"/>
        <v>6924.289448</v>
      </c>
      <c r="I20" s="11">
        <f t="shared" si="6"/>
        <v>7063.183659</v>
      </c>
      <c r="J20" s="11">
        <f t="shared" si="6"/>
        <v>7205.329986</v>
      </c>
      <c r="K20" s="11">
        <f t="shared" si="6"/>
        <v>7350.663387</v>
      </c>
      <c r="L20" s="11">
        <f t="shared" si="6"/>
        <v>7499.120119</v>
      </c>
      <c r="M20" s="11">
        <f t="shared" si="6"/>
        <v>7650.637716</v>
      </c>
      <c r="N20" s="11">
        <f t="shared" si="6"/>
        <v>7805.154962</v>
      </c>
      <c r="O20" s="11">
        <f t="shared" si="6"/>
        <v>7962.611863</v>
      </c>
      <c r="P20" s="11">
        <f t="shared" si="6"/>
        <v>8122.949626</v>
      </c>
      <c r="Q20" s="11">
        <f t="shared" si="6"/>
        <v>8286.110633</v>
      </c>
      <c r="R20" s="11">
        <f t="shared" si="6"/>
        <v>8452.03842</v>
      </c>
      <c r="S20" s="11">
        <f t="shared" si="6"/>
        <v>8620.677652</v>
      </c>
      <c r="T20" s="11">
        <f t="shared" si="6"/>
        <v>8791.974099</v>
      </c>
      <c r="U20" s="11">
        <f t="shared" si="6"/>
        <v>8965.874617</v>
      </c>
      <c r="V20" s="11">
        <f t="shared" si="6"/>
        <v>9142.327125</v>
      </c>
      <c r="W20" s="11">
        <f t="shared" si="6"/>
        <v>9327.310582</v>
      </c>
      <c r="X20" s="11">
        <f t="shared" si="6"/>
        <v>9514.624371</v>
      </c>
      <c r="Y20" s="11">
        <f t="shared" si="6"/>
        <v>9704.221883</v>
      </c>
      <c r="Z20" s="11">
        <f t="shared" si="6"/>
        <v>9896.057445</v>
      </c>
      <c r="AA20" s="11">
        <f t="shared" si="6"/>
        <v>10096.1163</v>
      </c>
      <c r="AB20" s="11">
        <f t="shared" si="6"/>
        <v>10298.20397</v>
      </c>
      <c r="AC20" s="11">
        <f t="shared" si="6"/>
        <v>10502.27989</v>
      </c>
      <c r="AD20" s="11">
        <f t="shared" si="6"/>
        <v>10714.33429</v>
      </c>
      <c r="AE20" s="11">
        <f t="shared" si="6"/>
        <v>10928.17761</v>
      </c>
      <c r="AF20" s="11">
        <f t="shared" si="6"/>
        <v>11143.77406</v>
      </c>
      <c r="AG20" s="11">
        <f t="shared" si="6"/>
        <v>11367.11857</v>
      </c>
      <c r="AH20" s="11">
        <f t="shared" si="6"/>
        <v>11592.0262</v>
      </c>
      <c r="AI20" s="11">
        <f t="shared" si="6"/>
        <v>11824.49568</v>
      </c>
      <c r="AJ20" s="11">
        <f t="shared" si="6"/>
        <v>12058.34577</v>
      </c>
      <c r="AK20" s="11">
        <f t="shared" si="6"/>
        <v>12299.57885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3.5"/>
  </cols>
  <sheetData>
    <row r="1">
      <c r="A1" s="1" t="s">
        <v>19</v>
      </c>
    </row>
    <row r="2">
      <c r="A2" s="1" t="s">
        <v>49</v>
      </c>
      <c r="B2" s="4">
        <f>Revenue_Drivers!B18</f>
        <v>0.03</v>
      </c>
    </row>
    <row r="3">
      <c r="B3" s="7">
        <v>46023.0</v>
      </c>
      <c r="C3" s="8">
        <f t="shared" ref="C3:AK3" si="1">EDATE(B3,1)</f>
        <v>46054</v>
      </c>
      <c r="D3" s="8">
        <f t="shared" si="1"/>
        <v>46082</v>
      </c>
      <c r="E3" s="8">
        <f t="shared" si="1"/>
        <v>46113</v>
      </c>
      <c r="F3" s="8">
        <f t="shared" si="1"/>
        <v>46143</v>
      </c>
      <c r="G3" s="8">
        <f t="shared" si="1"/>
        <v>46174</v>
      </c>
      <c r="H3" s="8">
        <f t="shared" si="1"/>
        <v>46204</v>
      </c>
      <c r="I3" s="8">
        <f t="shared" si="1"/>
        <v>46235</v>
      </c>
      <c r="J3" s="8">
        <f t="shared" si="1"/>
        <v>46266</v>
      </c>
      <c r="K3" s="8">
        <f t="shared" si="1"/>
        <v>46296</v>
      </c>
      <c r="L3" s="8">
        <f t="shared" si="1"/>
        <v>46327</v>
      </c>
      <c r="M3" s="8">
        <f t="shared" si="1"/>
        <v>46357</v>
      </c>
      <c r="N3" s="8">
        <f t="shared" si="1"/>
        <v>46388</v>
      </c>
      <c r="O3" s="8">
        <f t="shared" si="1"/>
        <v>46419</v>
      </c>
      <c r="P3" s="8">
        <f t="shared" si="1"/>
        <v>46447</v>
      </c>
      <c r="Q3" s="8">
        <f t="shared" si="1"/>
        <v>46478</v>
      </c>
      <c r="R3" s="8">
        <f t="shared" si="1"/>
        <v>46508</v>
      </c>
      <c r="S3" s="8">
        <f t="shared" si="1"/>
        <v>46539</v>
      </c>
      <c r="T3" s="8">
        <f t="shared" si="1"/>
        <v>46569</v>
      </c>
      <c r="U3" s="8">
        <f t="shared" si="1"/>
        <v>46600</v>
      </c>
      <c r="V3" s="8">
        <f t="shared" si="1"/>
        <v>46631</v>
      </c>
      <c r="W3" s="8">
        <f t="shared" si="1"/>
        <v>46661</v>
      </c>
      <c r="X3" s="8">
        <f t="shared" si="1"/>
        <v>46692</v>
      </c>
      <c r="Y3" s="8">
        <f t="shared" si="1"/>
        <v>46722</v>
      </c>
      <c r="Z3" s="8">
        <f t="shared" si="1"/>
        <v>46753</v>
      </c>
      <c r="AA3" s="8">
        <f t="shared" si="1"/>
        <v>46784</v>
      </c>
      <c r="AB3" s="8">
        <f t="shared" si="1"/>
        <v>46813</v>
      </c>
      <c r="AC3" s="8">
        <f t="shared" si="1"/>
        <v>46844</v>
      </c>
      <c r="AD3" s="8">
        <f t="shared" si="1"/>
        <v>46874</v>
      </c>
      <c r="AE3" s="8">
        <f t="shared" si="1"/>
        <v>46905</v>
      </c>
      <c r="AF3" s="8">
        <f t="shared" si="1"/>
        <v>46935</v>
      </c>
      <c r="AG3" s="8">
        <f t="shared" si="1"/>
        <v>46966</v>
      </c>
      <c r="AH3" s="8">
        <f t="shared" si="1"/>
        <v>46997</v>
      </c>
      <c r="AI3" s="8">
        <f t="shared" si="1"/>
        <v>47027</v>
      </c>
      <c r="AJ3" s="8">
        <f t="shared" si="1"/>
        <v>47058</v>
      </c>
      <c r="AK3" s="8">
        <f t="shared" si="1"/>
        <v>47088</v>
      </c>
    </row>
    <row r="4">
      <c r="A4" s="2" t="s">
        <v>50</v>
      </c>
    </row>
    <row r="5">
      <c r="A5" s="1" t="s">
        <v>51</v>
      </c>
      <c r="B5" s="11">
        <f>AVERAGE(B22:M22)</f>
        <v>2749.808396</v>
      </c>
    </row>
    <row r="6">
      <c r="A6" s="1" t="s">
        <v>52</v>
      </c>
      <c r="B6" s="11">
        <f>AK24</f>
        <v>2127964.255</v>
      </c>
    </row>
    <row r="7">
      <c r="A7" s="1" t="s">
        <v>53</v>
      </c>
      <c r="B7" s="12">
        <f>IF(B5&lt;0,-B5,0)</f>
        <v>0</v>
      </c>
    </row>
    <row r="8">
      <c r="A8" s="1" t="s">
        <v>54</v>
      </c>
      <c r="B8" s="12" t="str">
        <f>IF(B7&gt;0,B6/B7,"Cash Generative")</f>
        <v>Cash Generative</v>
      </c>
    </row>
    <row r="9">
      <c r="A9" s="2"/>
    </row>
    <row r="10">
      <c r="A10" s="2" t="s">
        <v>55</v>
      </c>
    </row>
    <row r="11">
      <c r="A11" s="1" t="s">
        <v>48</v>
      </c>
      <c r="B11" s="11">
        <f>'Income_Statment '!B20</f>
        <v>6150.6</v>
      </c>
      <c r="C11" s="11">
        <f>'Income_Statment '!C20</f>
        <v>6274.818</v>
      </c>
      <c r="D11" s="11">
        <f>'Income_Statment '!D20</f>
        <v>6402.58164</v>
      </c>
      <c r="E11" s="11">
        <f>'Income_Statment '!E20</f>
        <v>6527.790007</v>
      </c>
      <c r="F11" s="11">
        <f>'Income_Statment '!F20</f>
        <v>6656.524207</v>
      </c>
      <c r="G11" s="11">
        <f>'Income_Statment '!G20</f>
        <v>6788.713723</v>
      </c>
      <c r="H11" s="11">
        <f>'Income_Statment '!H20</f>
        <v>6924.289448</v>
      </c>
      <c r="I11" s="11">
        <f>'Income_Statment '!I20</f>
        <v>7063.183659</v>
      </c>
      <c r="J11" s="11">
        <f>'Income_Statment '!J20</f>
        <v>7205.329986</v>
      </c>
      <c r="K11" s="11">
        <f>'Income_Statment '!K20</f>
        <v>7350.663387</v>
      </c>
      <c r="L11" s="11">
        <f>'Income_Statment '!L20</f>
        <v>7499.120119</v>
      </c>
      <c r="M11" s="11">
        <f>'Income_Statment '!M20</f>
        <v>7650.637716</v>
      </c>
      <c r="N11" s="11">
        <f>'Income_Statment '!N20</f>
        <v>7805.154962</v>
      </c>
      <c r="O11" s="11">
        <f>'Income_Statment '!O20</f>
        <v>7962.611863</v>
      </c>
      <c r="P11" s="11">
        <f>'Income_Statment '!P20</f>
        <v>8122.949626</v>
      </c>
      <c r="Q11" s="11">
        <f>'Income_Statment '!Q20</f>
        <v>8286.110633</v>
      </c>
      <c r="R11" s="11">
        <f>'Income_Statment '!R20</f>
        <v>8452.03842</v>
      </c>
      <c r="S11" s="11">
        <f>'Income_Statment '!S20</f>
        <v>8620.677652</v>
      </c>
      <c r="T11" s="11">
        <f>'Income_Statment '!T20</f>
        <v>8791.974099</v>
      </c>
      <c r="U11" s="11">
        <f>'Income_Statment '!U20</f>
        <v>8965.874617</v>
      </c>
      <c r="V11" s="11">
        <f>'Income_Statment '!V20</f>
        <v>9142.327125</v>
      </c>
      <c r="W11" s="11">
        <f>'Income_Statment '!W20</f>
        <v>9327.310582</v>
      </c>
      <c r="X11" s="11">
        <f>'Income_Statment '!X20</f>
        <v>9514.624371</v>
      </c>
      <c r="Y11" s="11">
        <f>'Income_Statment '!Y20</f>
        <v>9704.221883</v>
      </c>
      <c r="Z11" s="11">
        <f>'Income_Statment '!Z20</f>
        <v>9896.057445</v>
      </c>
      <c r="AA11" s="11">
        <f>'Income_Statment '!AA20</f>
        <v>10096.1163</v>
      </c>
      <c r="AB11" s="11">
        <f>'Income_Statment '!AB20</f>
        <v>10298.20397</v>
      </c>
      <c r="AC11" s="11">
        <f>'Income_Statment '!AC20</f>
        <v>10502.27989</v>
      </c>
      <c r="AD11" s="11">
        <f>'Income_Statment '!AD20</f>
        <v>10714.33429</v>
      </c>
      <c r="AE11" s="11">
        <f>'Income_Statment '!AE20</f>
        <v>10928.17761</v>
      </c>
      <c r="AF11" s="11">
        <f>'Income_Statment '!AF20</f>
        <v>11143.77406</v>
      </c>
      <c r="AG11" s="11">
        <f>'Income_Statment '!AG20</f>
        <v>11367.11857</v>
      </c>
      <c r="AH11" s="11">
        <f>'Income_Statment '!AH20</f>
        <v>11592.0262</v>
      </c>
      <c r="AI11" s="11">
        <f>'Income_Statment '!AI20</f>
        <v>11824.49568</v>
      </c>
      <c r="AJ11" s="11">
        <f>'Income_Statment '!AJ20</f>
        <v>12058.34577</v>
      </c>
      <c r="AK11" s="11">
        <f>'Income_Statment '!AK20</f>
        <v>12299.57885</v>
      </c>
    </row>
    <row r="12">
      <c r="A12" s="1" t="s">
        <v>56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</row>
    <row r="13">
      <c r="A13" s="1" t="s">
        <v>57</v>
      </c>
      <c r="B13" s="11">
        <f t="shared" ref="B13:AK13" si="2">B11+B12</f>
        <v>6150.6</v>
      </c>
      <c r="C13" s="11">
        <f t="shared" si="2"/>
        <v>6274.818</v>
      </c>
      <c r="D13" s="11">
        <f t="shared" si="2"/>
        <v>6402.58164</v>
      </c>
      <c r="E13" s="11">
        <f t="shared" si="2"/>
        <v>6527.790007</v>
      </c>
      <c r="F13" s="11">
        <f t="shared" si="2"/>
        <v>6656.524207</v>
      </c>
      <c r="G13" s="11">
        <f t="shared" si="2"/>
        <v>6788.713723</v>
      </c>
      <c r="H13" s="11">
        <f t="shared" si="2"/>
        <v>6924.289448</v>
      </c>
      <c r="I13" s="11">
        <f t="shared" si="2"/>
        <v>7063.183659</v>
      </c>
      <c r="J13" s="11">
        <f t="shared" si="2"/>
        <v>7205.329986</v>
      </c>
      <c r="K13" s="11">
        <f t="shared" si="2"/>
        <v>7350.663387</v>
      </c>
      <c r="L13" s="11">
        <f t="shared" si="2"/>
        <v>7499.120119</v>
      </c>
      <c r="M13" s="11">
        <f t="shared" si="2"/>
        <v>7650.637716</v>
      </c>
      <c r="N13" s="11">
        <f t="shared" si="2"/>
        <v>7805.154962</v>
      </c>
      <c r="O13" s="11">
        <f t="shared" si="2"/>
        <v>7962.611863</v>
      </c>
      <c r="P13" s="11">
        <f t="shared" si="2"/>
        <v>8122.949626</v>
      </c>
      <c r="Q13" s="11">
        <f t="shared" si="2"/>
        <v>8286.110633</v>
      </c>
      <c r="R13" s="11">
        <f t="shared" si="2"/>
        <v>8452.03842</v>
      </c>
      <c r="S13" s="11">
        <f t="shared" si="2"/>
        <v>8620.677652</v>
      </c>
      <c r="T13" s="11">
        <f t="shared" si="2"/>
        <v>8791.974099</v>
      </c>
      <c r="U13" s="11">
        <f t="shared" si="2"/>
        <v>8965.874617</v>
      </c>
      <c r="V13" s="11">
        <f t="shared" si="2"/>
        <v>9142.327125</v>
      </c>
      <c r="W13" s="11">
        <f t="shared" si="2"/>
        <v>9327.310582</v>
      </c>
      <c r="X13" s="11">
        <f t="shared" si="2"/>
        <v>9514.624371</v>
      </c>
      <c r="Y13" s="11">
        <f t="shared" si="2"/>
        <v>9704.221883</v>
      </c>
      <c r="Z13" s="11">
        <f t="shared" si="2"/>
        <v>9896.057445</v>
      </c>
      <c r="AA13" s="11">
        <f t="shared" si="2"/>
        <v>10096.1163</v>
      </c>
      <c r="AB13" s="11">
        <f t="shared" si="2"/>
        <v>10298.20397</v>
      </c>
      <c r="AC13" s="11">
        <f t="shared" si="2"/>
        <v>10502.27989</v>
      </c>
      <c r="AD13" s="11">
        <f t="shared" si="2"/>
        <v>10714.33429</v>
      </c>
      <c r="AE13" s="11">
        <f t="shared" si="2"/>
        <v>10928.17761</v>
      </c>
      <c r="AF13" s="11">
        <f t="shared" si="2"/>
        <v>11143.77406</v>
      </c>
      <c r="AG13" s="11">
        <f t="shared" si="2"/>
        <v>11367.11857</v>
      </c>
      <c r="AH13" s="11">
        <f t="shared" si="2"/>
        <v>11592.0262</v>
      </c>
      <c r="AI13" s="11">
        <f t="shared" si="2"/>
        <v>11824.49568</v>
      </c>
      <c r="AJ13" s="11">
        <f t="shared" si="2"/>
        <v>12058.34577</v>
      </c>
      <c r="AK13" s="11">
        <f t="shared" si="2"/>
        <v>12299.57885</v>
      </c>
    </row>
    <row r="15">
      <c r="A15" s="2" t="s">
        <v>58</v>
      </c>
    </row>
    <row r="16">
      <c r="A16" s="1" t="s">
        <v>59</v>
      </c>
      <c r="B16" s="11">
        <f> -'Income_Statment '!B9* Revenue_Drivers!$B$18</f>
        <v>-3690.36</v>
      </c>
      <c r="C16" s="11">
        <f> -'Income_Statment '!C9* Revenue_Drivers!$B$18</f>
        <v>-3764.8908</v>
      </c>
      <c r="D16" s="11">
        <f> -'Income_Statment '!D9* Revenue_Drivers!$B$18</f>
        <v>-3841.548984</v>
      </c>
      <c r="E16" s="11">
        <f> -'Income_Statment '!E9* Revenue_Drivers!$B$18</f>
        <v>-3916.674004</v>
      </c>
      <c r="F16" s="11">
        <f> -'Income_Statment '!F9* Revenue_Drivers!$B$18</f>
        <v>-3993.914524</v>
      </c>
      <c r="G16" s="11">
        <f> -'Income_Statment '!G9* Revenue_Drivers!$B$18</f>
        <v>-4073.228234</v>
      </c>
      <c r="H16" s="11">
        <f> -'Income_Statment '!H9* Revenue_Drivers!$B$18</f>
        <v>-4154.573669</v>
      </c>
      <c r="I16" s="11">
        <f> -'Income_Statment '!I9* Revenue_Drivers!$B$18</f>
        <v>-4237.910196</v>
      </c>
      <c r="J16" s="11">
        <f> -'Income_Statment '!J9* Revenue_Drivers!$B$18</f>
        <v>-4323.197992</v>
      </c>
      <c r="K16" s="11">
        <f> -'Income_Statment '!K9* Revenue_Drivers!$B$18</f>
        <v>-4410.398032</v>
      </c>
      <c r="L16" s="11">
        <f> -'Income_Statment '!L9* Revenue_Drivers!$B$18</f>
        <v>-4499.472071</v>
      </c>
      <c r="M16" s="11">
        <f> -'Income_Statment '!M9* Revenue_Drivers!$B$18</f>
        <v>-4590.38263</v>
      </c>
      <c r="N16" s="11">
        <f> -'Income_Statment '!N9* Revenue_Drivers!$B$18</f>
        <v>-4683.092977</v>
      </c>
      <c r="O16" s="11">
        <f> -'Income_Statment '!O9* Revenue_Drivers!$B$18</f>
        <v>-4777.567118</v>
      </c>
      <c r="P16" s="11">
        <f> -'Income_Statment '!P9* Revenue_Drivers!$B$18</f>
        <v>-4873.769775</v>
      </c>
      <c r="Q16" s="11">
        <f> -'Income_Statment '!Q9* Revenue_Drivers!$B$18</f>
        <v>-4971.66638</v>
      </c>
      <c r="R16" s="11">
        <f> -'Income_Statment '!R9* Revenue_Drivers!$B$18</f>
        <v>-5071.223052</v>
      </c>
      <c r="S16" s="11">
        <f> -'Income_Statment '!S9* Revenue_Drivers!$B$18</f>
        <v>-5172.406591</v>
      </c>
      <c r="T16" s="11">
        <f> -'Income_Statment '!T9* Revenue_Drivers!$B$18</f>
        <v>-5275.184459</v>
      </c>
      <c r="U16" s="11">
        <f> -'Income_Statment '!U9* Revenue_Drivers!$B$18</f>
        <v>-5379.52477</v>
      </c>
      <c r="V16" s="11">
        <f> -'Income_Statment '!V9* Revenue_Drivers!$B$18</f>
        <v>-5485.396275</v>
      </c>
      <c r="W16" s="11">
        <f> -'Income_Statment '!W9* Revenue_Drivers!$B$18</f>
        <v>-5596.386349</v>
      </c>
      <c r="X16" s="11">
        <f> -'Income_Statment '!X9* Revenue_Drivers!$B$18</f>
        <v>-5708.774622</v>
      </c>
      <c r="Y16" s="11">
        <f> -'Income_Statment '!Y9* Revenue_Drivers!$B$18</f>
        <v>-5822.53313</v>
      </c>
      <c r="Z16" s="11">
        <f> -'Income_Statment '!Z9* Revenue_Drivers!$B$18</f>
        <v>-5937.634467</v>
      </c>
      <c r="AA16" s="11">
        <f> -'Income_Statment '!AA9* Revenue_Drivers!$B$18</f>
        <v>-6057.669778</v>
      </c>
      <c r="AB16" s="11">
        <f> -'Income_Statment '!AB9* Revenue_Drivers!$B$18</f>
        <v>-6178.922382</v>
      </c>
      <c r="AC16" s="11">
        <f> -'Income_Statment '!AC9* Revenue_Drivers!$B$18</f>
        <v>-6301.367935</v>
      </c>
      <c r="AD16" s="11">
        <f> -'Income_Statment '!AD9* Revenue_Drivers!$B$18</f>
        <v>-6428.600576</v>
      </c>
      <c r="AE16" s="11">
        <f> -'Income_Statment '!AE9* Revenue_Drivers!$B$18</f>
        <v>-6556.906565</v>
      </c>
      <c r="AF16" s="11">
        <f> -'Income_Statment '!AF9* Revenue_Drivers!$B$18</f>
        <v>-6686.264433</v>
      </c>
      <c r="AG16" s="11">
        <f> -'Income_Statment '!AG9* Revenue_Drivers!$B$18</f>
        <v>-6820.271145</v>
      </c>
      <c r="AH16" s="11">
        <f> -'Income_Statment '!AH9* Revenue_Drivers!$B$18</f>
        <v>-6955.215722</v>
      </c>
      <c r="AI16" s="11">
        <f> -'Income_Statment '!AI9* Revenue_Drivers!$B$18</f>
        <v>-7094.697407</v>
      </c>
      <c r="AJ16" s="11">
        <f> -'Income_Statment '!AJ9* Revenue_Drivers!$B$18</f>
        <v>-7235.007459</v>
      </c>
      <c r="AK16" s="11">
        <f> -'Income_Statment '!AK9* Revenue_Drivers!$B$18</f>
        <v>-7379.74731</v>
      </c>
    </row>
    <row r="17">
      <c r="A17" s="1" t="s">
        <v>60</v>
      </c>
      <c r="B17" s="11">
        <f t="shared" ref="B17:AK17" si="3">B16</f>
        <v>-3690.36</v>
      </c>
      <c r="C17" s="11">
        <f t="shared" si="3"/>
        <v>-3764.8908</v>
      </c>
      <c r="D17" s="11">
        <f t="shared" si="3"/>
        <v>-3841.548984</v>
      </c>
      <c r="E17" s="11">
        <f t="shared" si="3"/>
        <v>-3916.674004</v>
      </c>
      <c r="F17" s="11">
        <f t="shared" si="3"/>
        <v>-3993.914524</v>
      </c>
      <c r="G17" s="11">
        <f t="shared" si="3"/>
        <v>-4073.228234</v>
      </c>
      <c r="H17" s="11">
        <f t="shared" si="3"/>
        <v>-4154.573669</v>
      </c>
      <c r="I17" s="11">
        <f t="shared" si="3"/>
        <v>-4237.910196</v>
      </c>
      <c r="J17" s="11">
        <f t="shared" si="3"/>
        <v>-4323.197992</v>
      </c>
      <c r="K17" s="11">
        <f t="shared" si="3"/>
        <v>-4410.398032</v>
      </c>
      <c r="L17" s="11">
        <f t="shared" si="3"/>
        <v>-4499.472071</v>
      </c>
      <c r="M17" s="11">
        <f t="shared" si="3"/>
        <v>-4590.38263</v>
      </c>
      <c r="N17" s="11">
        <f t="shared" si="3"/>
        <v>-4683.092977</v>
      </c>
      <c r="O17" s="11">
        <f t="shared" si="3"/>
        <v>-4777.567118</v>
      </c>
      <c r="P17" s="11">
        <f t="shared" si="3"/>
        <v>-4873.769775</v>
      </c>
      <c r="Q17" s="11">
        <f t="shared" si="3"/>
        <v>-4971.66638</v>
      </c>
      <c r="R17" s="11">
        <f t="shared" si="3"/>
        <v>-5071.223052</v>
      </c>
      <c r="S17" s="11">
        <f t="shared" si="3"/>
        <v>-5172.406591</v>
      </c>
      <c r="T17" s="11">
        <f t="shared" si="3"/>
        <v>-5275.184459</v>
      </c>
      <c r="U17" s="11">
        <f t="shared" si="3"/>
        <v>-5379.52477</v>
      </c>
      <c r="V17" s="11">
        <f t="shared" si="3"/>
        <v>-5485.396275</v>
      </c>
      <c r="W17" s="11">
        <f t="shared" si="3"/>
        <v>-5596.386349</v>
      </c>
      <c r="X17" s="11">
        <f t="shared" si="3"/>
        <v>-5708.774622</v>
      </c>
      <c r="Y17" s="11">
        <f t="shared" si="3"/>
        <v>-5822.53313</v>
      </c>
      <c r="Z17" s="11">
        <f t="shared" si="3"/>
        <v>-5937.634467</v>
      </c>
      <c r="AA17" s="11">
        <f t="shared" si="3"/>
        <v>-6057.669778</v>
      </c>
      <c r="AB17" s="11">
        <f t="shared" si="3"/>
        <v>-6178.922382</v>
      </c>
      <c r="AC17" s="11">
        <f t="shared" si="3"/>
        <v>-6301.367935</v>
      </c>
      <c r="AD17" s="11">
        <f t="shared" si="3"/>
        <v>-6428.600576</v>
      </c>
      <c r="AE17" s="11">
        <f t="shared" si="3"/>
        <v>-6556.906565</v>
      </c>
      <c r="AF17" s="11">
        <f t="shared" si="3"/>
        <v>-6686.264433</v>
      </c>
      <c r="AG17" s="11">
        <f t="shared" si="3"/>
        <v>-6820.271145</v>
      </c>
      <c r="AH17" s="11">
        <f t="shared" si="3"/>
        <v>-6955.215722</v>
      </c>
      <c r="AI17" s="11">
        <f t="shared" si="3"/>
        <v>-7094.697407</v>
      </c>
      <c r="AJ17" s="11">
        <f t="shared" si="3"/>
        <v>-7235.007459</v>
      </c>
      <c r="AK17" s="11">
        <f t="shared" si="3"/>
        <v>-7379.74731</v>
      </c>
    </row>
    <row r="19">
      <c r="A19" s="2" t="s">
        <v>61</v>
      </c>
    </row>
    <row r="20">
      <c r="A20" s="1" t="s">
        <v>62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</row>
    <row r="22">
      <c r="A22" s="1" t="s">
        <v>63</v>
      </c>
      <c r="B22" s="11">
        <f t="shared" ref="B22:AK22" si="4">B13+B17+B20</f>
        <v>2460.24</v>
      </c>
      <c r="C22" s="11">
        <f t="shared" si="4"/>
        <v>2509.9272</v>
      </c>
      <c r="D22" s="11">
        <f t="shared" si="4"/>
        <v>2561.032656</v>
      </c>
      <c r="E22" s="11">
        <f t="shared" si="4"/>
        <v>2611.116003</v>
      </c>
      <c r="F22" s="11">
        <f t="shared" si="4"/>
        <v>2662.609683</v>
      </c>
      <c r="G22" s="11">
        <f t="shared" si="4"/>
        <v>2715.485489</v>
      </c>
      <c r="H22" s="11">
        <f t="shared" si="4"/>
        <v>2769.715779</v>
      </c>
      <c r="I22" s="11">
        <f t="shared" si="4"/>
        <v>2825.273464</v>
      </c>
      <c r="J22" s="11">
        <f t="shared" si="4"/>
        <v>2882.131995</v>
      </c>
      <c r="K22" s="11">
        <f t="shared" si="4"/>
        <v>2940.265355</v>
      </c>
      <c r="L22" s="11">
        <f t="shared" si="4"/>
        <v>2999.648048</v>
      </c>
      <c r="M22" s="11">
        <f t="shared" si="4"/>
        <v>3060.255087</v>
      </c>
      <c r="N22" s="11">
        <f t="shared" si="4"/>
        <v>3122.061985</v>
      </c>
      <c r="O22" s="11">
        <f t="shared" si="4"/>
        <v>3185.044745</v>
      </c>
      <c r="P22" s="11">
        <f t="shared" si="4"/>
        <v>3249.17985</v>
      </c>
      <c r="Q22" s="11">
        <f t="shared" si="4"/>
        <v>3314.444253</v>
      </c>
      <c r="R22" s="11">
        <f t="shared" si="4"/>
        <v>3380.815368</v>
      </c>
      <c r="S22" s="11">
        <f t="shared" si="4"/>
        <v>3448.271061</v>
      </c>
      <c r="T22" s="11">
        <f t="shared" si="4"/>
        <v>3516.78964</v>
      </c>
      <c r="U22" s="11">
        <f t="shared" si="4"/>
        <v>3586.349847</v>
      </c>
      <c r="V22" s="11">
        <f t="shared" si="4"/>
        <v>3656.93085</v>
      </c>
      <c r="W22" s="11">
        <f t="shared" si="4"/>
        <v>3730.924233</v>
      </c>
      <c r="X22" s="11">
        <f t="shared" si="4"/>
        <v>3805.849748</v>
      </c>
      <c r="Y22" s="11">
        <f t="shared" si="4"/>
        <v>3881.688753</v>
      </c>
      <c r="Z22" s="11">
        <f t="shared" si="4"/>
        <v>3958.422978</v>
      </c>
      <c r="AA22" s="11">
        <f t="shared" si="4"/>
        <v>4038.446519</v>
      </c>
      <c r="AB22" s="11">
        <f t="shared" si="4"/>
        <v>4119.281588</v>
      </c>
      <c r="AC22" s="11">
        <f t="shared" si="4"/>
        <v>4200.911956</v>
      </c>
      <c r="AD22" s="11">
        <f t="shared" si="4"/>
        <v>4285.733717</v>
      </c>
      <c r="AE22" s="11">
        <f t="shared" si="4"/>
        <v>4371.271043</v>
      </c>
      <c r="AF22" s="11">
        <f t="shared" si="4"/>
        <v>4457.509622</v>
      </c>
      <c r="AG22" s="11">
        <f t="shared" si="4"/>
        <v>4546.84743</v>
      </c>
      <c r="AH22" s="11">
        <f t="shared" si="4"/>
        <v>4636.810481</v>
      </c>
      <c r="AI22" s="11">
        <f t="shared" si="4"/>
        <v>4729.798271</v>
      </c>
      <c r="AJ22" s="11">
        <f t="shared" si="4"/>
        <v>4823.338306</v>
      </c>
      <c r="AK22" s="11">
        <f t="shared" si="4"/>
        <v>4919.83154</v>
      </c>
    </row>
    <row r="23">
      <c r="A23" s="1" t="s">
        <v>64</v>
      </c>
      <c r="B23" s="10">
        <v>2000000.0</v>
      </c>
      <c r="C23" s="10">
        <f t="shared" ref="C23:AK23" si="5">B24</f>
        <v>2002460.24</v>
      </c>
      <c r="D23" s="10">
        <f t="shared" si="5"/>
        <v>2004970.167</v>
      </c>
      <c r="E23" s="10">
        <f t="shared" si="5"/>
        <v>2007531.2</v>
      </c>
      <c r="F23" s="10">
        <f t="shared" si="5"/>
        <v>2010142.316</v>
      </c>
      <c r="G23" s="10">
        <f t="shared" si="5"/>
        <v>2012804.926</v>
      </c>
      <c r="H23" s="10">
        <f t="shared" si="5"/>
        <v>2015520.411</v>
      </c>
      <c r="I23" s="10">
        <f t="shared" si="5"/>
        <v>2018290.127</v>
      </c>
      <c r="J23" s="10">
        <f t="shared" si="5"/>
        <v>2021115.4</v>
      </c>
      <c r="K23" s="10">
        <f t="shared" si="5"/>
        <v>2023997.532</v>
      </c>
      <c r="L23" s="10">
        <f t="shared" si="5"/>
        <v>2026937.798</v>
      </c>
      <c r="M23" s="10">
        <f t="shared" si="5"/>
        <v>2029937.446</v>
      </c>
      <c r="N23" s="10">
        <f t="shared" si="5"/>
        <v>2032997.701</v>
      </c>
      <c r="O23" s="10">
        <f t="shared" si="5"/>
        <v>2036119.763</v>
      </c>
      <c r="P23" s="10">
        <f t="shared" si="5"/>
        <v>2039304.807</v>
      </c>
      <c r="Q23" s="10">
        <f t="shared" si="5"/>
        <v>2042553.987</v>
      </c>
      <c r="R23" s="10">
        <f t="shared" si="5"/>
        <v>2045868.432</v>
      </c>
      <c r="S23" s="10">
        <f t="shared" si="5"/>
        <v>2049249.247</v>
      </c>
      <c r="T23" s="10">
        <f t="shared" si="5"/>
        <v>2052697.518</v>
      </c>
      <c r="U23" s="10">
        <f t="shared" si="5"/>
        <v>2056214.308</v>
      </c>
      <c r="V23" s="10">
        <f t="shared" si="5"/>
        <v>2059800.658</v>
      </c>
      <c r="W23" s="10">
        <f t="shared" si="5"/>
        <v>2063457.588</v>
      </c>
      <c r="X23" s="10">
        <f t="shared" si="5"/>
        <v>2067188.513</v>
      </c>
      <c r="Y23" s="10">
        <f t="shared" si="5"/>
        <v>2070994.362</v>
      </c>
      <c r="Z23" s="10">
        <f t="shared" si="5"/>
        <v>2074876.051</v>
      </c>
      <c r="AA23" s="10">
        <f t="shared" si="5"/>
        <v>2078834.474</v>
      </c>
      <c r="AB23" s="10">
        <f t="shared" si="5"/>
        <v>2082872.921</v>
      </c>
      <c r="AC23" s="10">
        <f t="shared" si="5"/>
        <v>2086992.202</v>
      </c>
      <c r="AD23" s="10">
        <f t="shared" si="5"/>
        <v>2091193.114</v>
      </c>
      <c r="AE23" s="10">
        <f t="shared" si="5"/>
        <v>2095478.848</v>
      </c>
      <c r="AF23" s="10">
        <f t="shared" si="5"/>
        <v>2099850.119</v>
      </c>
      <c r="AG23" s="10">
        <f t="shared" si="5"/>
        <v>2104307.629</v>
      </c>
      <c r="AH23" s="10">
        <f t="shared" si="5"/>
        <v>2108854.476</v>
      </c>
      <c r="AI23" s="10">
        <f t="shared" si="5"/>
        <v>2113491.286</v>
      </c>
      <c r="AJ23" s="10">
        <f t="shared" si="5"/>
        <v>2118221.085</v>
      </c>
      <c r="AK23" s="10">
        <f t="shared" si="5"/>
        <v>2123044.423</v>
      </c>
    </row>
    <row r="24">
      <c r="A24" s="1" t="s">
        <v>65</v>
      </c>
      <c r="B24" s="11">
        <f t="shared" ref="B24:AK24" si="6">B22+B23</f>
        <v>2002460.24</v>
      </c>
      <c r="C24" s="11">
        <f t="shared" si="6"/>
        <v>2004970.167</v>
      </c>
      <c r="D24" s="11">
        <f t="shared" si="6"/>
        <v>2007531.2</v>
      </c>
      <c r="E24" s="11">
        <f t="shared" si="6"/>
        <v>2010142.316</v>
      </c>
      <c r="F24" s="11">
        <f t="shared" si="6"/>
        <v>2012804.926</v>
      </c>
      <c r="G24" s="11">
        <f t="shared" si="6"/>
        <v>2015520.411</v>
      </c>
      <c r="H24" s="11">
        <f t="shared" si="6"/>
        <v>2018290.127</v>
      </c>
      <c r="I24" s="11">
        <f t="shared" si="6"/>
        <v>2021115.4</v>
      </c>
      <c r="J24" s="11">
        <f t="shared" si="6"/>
        <v>2023997.532</v>
      </c>
      <c r="K24" s="11">
        <f t="shared" si="6"/>
        <v>2026937.798</v>
      </c>
      <c r="L24" s="11">
        <f t="shared" si="6"/>
        <v>2029937.446</v>
      </c>
      <c r="M24" s="11">
        <f t="shared" si="6"/>
        <v>2032997.701</v>
      </c>
      <c r="N24" s="11">
        <f t="shared" si="6"/>
        <v>2036119.763</v>
      </c>
      <c r="O24" s="11">
        <f t="shared" si="6"/>
        <v>2039304.807</v>
      </c>
      <c r="P24" s="11">
        <f t="shared" si="6"/>
        <v>2042553.987</v>
      </c>
      <c r="Q24" s="11">
        <f t="shared" si="6"/>
        <v>2045868.432</v>
      </c>
      <c r="R24" s="11">
        <f t="shared" si="6"/>
        <v>2049249.247</v>
      </c>
      <c r="S24" s="11">
        <f t="shared" si="6"/>
        <v>2052697.518</v>
      </c>
      <c r="T24" s="11">
        <f t="shared" si="6"/>
        <v>2056214.308</v>
      </c>
      <c r="U24" s="11">
        <f t="shared" si="6"/>
        <v>2059800.658</v>
      </c>
      <c r="V24" s="11">
        <f t="shared" si="6"/>
        <v>2063457.588</v>
      </c>
      <c r="W24" s="11">
        <f t="shared" si="6"/>
        <v>2067188.513</v>
      </c>
      <c r="X24" s="11">
        <f t="shared" si="6"/>
        <v>2070994.362</v>
      </c>
      <c r="Y24" s="11">
        <f t="shared" si="6"/>
        <v>2074876.051</v>
      </c>
      <c r="Z24" s="11">
        <f t="shared" si="6"/>
        <v>2078834.474</v>
      </c>
      <c r="AA24" s="11">
        <f t="shared" si="6"/>
        <v>2082872.921</v>
      </c>
      <c r="AB24" s="11">
        <f t="shared" si="6"/>
        <v>2086992.202</v>
      </c>
      <c r="AC24" s="11">
        <f t="shared" si="6"/>
        <v>2091193.114</v>
      </c>
      <c r="AD24" s="11">
        <f t="shared" si="6"/>
        <v>2095478.848</v>
      </c>
      <c r="AE24" s="11">
        <f t="shared" si="6"/>
        <v>2099850.119</v>
      </c>
      <c r="AF24" s="11">
        <f t="shared" si="6"/>
        <v>2104307.629</v>
      </c>
      <c r="AG24" s="11">
        <f t="shared" si="6"/>
        <v>2108854.476</v>
      </c>
      <c r="AH24" s="11">
        <f t="shared" si="6"/>
        <v>2113491.286</v>
      </c>
      <c r="AI24" s="11">
        <f t="shared" si="6"/>
        <v>2118221.085</v>
      </c>
      <c r="AJ24" s="11">
        <f t="shared" si="6"/>
        <v>2123044.423</v>
      </c>
      <c r="AK24" s="11">
        <f t="shared" si="6"/>
        <v>2127964.255</v>
      </c>
    </row>
  </sheetData>
  <drawing r:id="rId1"/>
</worksheet>
</file>